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09536A7F-89F3-4D7B-8501-B9539E531649}" xr6:coauthVersionLast="36" xr6:coauthVersionMax="36" xr10:uidLastSave="{00000000-0000-0000-0000-000000000000}"/>
  <bookViews>
    <workbookView xWindow="0" yWindow="0" windowWidth="23040" windowHeight="8940" xr2:uid="{5A8FB38E-7F7E-43DA-9435-8961AE0A2D2D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0" hidden="1">Sheet1!$C$19</definedName>
    <definedName name="solver_adj" localSheetId="1" hidden="1">Sheet2!$B$11</definedName>
    <definedName name="solver_adj" localSheetId="2" hidden="1">Sheet3!$B$14</definedName>
    <definedName name="solver_adj" localSheetId="3" hidden="1">Sheet4!$B$16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1" hidden="1">Sheet2!$B$11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Sheet1!$C$21</definedName>
    <definedName name="solver_opt" localSheetId="1" hidden="1">Sheet2!$B$14</definedName>
    <definedName name="solver_opt" localSheetId="2" hidden="1">Sheet3!$B$16</definedName>
    <definedName name="solver_opt" localSheetId="3" hidden="1">Sheet4!$B$18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1" hidden="1">4</definedName>
    <definedName name="solver_rhs1" localSheetId="1" hidden="1">integer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8" i="4" s="1"/>
  <c r="B12" i="4"/>
  <c r="B6" i="4"/>
  <c r="A6" i="4"/>
  <c r="B15" i="3" l="1"/>
  <c r="B16" i="3" s="1"/>
  <c r="B12" i="3"/>
  <c r="B9" i="2"/>
  <c r="B5" i="3"/>
  <c r="A5" i="3"/>
  <c r="B12" i="2" l="1"/>
  <c r="B14" i="2" s="1"/>
  <c r="B7" i="2"/>
  <c r="B6" i="1"/>
  <c r="C20" i="1" l="1"/>
  <c r="C21" i="1" s="1"/>
  <c r="C14" i="1"/>
</calcChain>
</file>

<file path=xl/sharedStrings.xml><?xml version="1.0" encoding="utf-8"?>
<sst xmlns="http://schemas.openxmlformats.org/spreadsheetml/2006/main" count="59" uniqueCount="27">
  <si>
    <t xml:space="preserve">You currently charge Rs 5 for a razor, you sell 6 Lakh Razors. Assume that the variable cost to produce a razor is rs 2. Finally , suppose that the price elasticity of demand for razors is 2 and the demand curve is linear. What price should you charge for razors to maximise profit?         </t>
  </si>
  <si>
    <t>Price</t>
  </si>
  <si>
    <t>Demand</t>
  </si>
  <si>
    <t>Elasticity</t>
  </si>
  <si>
    <t>Cost</t>
  </si>
  <si>
    <t>Given:</t>
  </si>
  <si>
    <t>Current Price</t>
  </si>
  <si>
    <t>Quantity</t>
  </si>
  <si>
    <t>Current Profit</t>
  </si>
  <si>
    <t>(Current Price - Current Cost)*Quantity</t>
  </si>
  <si>
    <t>Lakh</t>
  </si>
  <si>
    <t>Y = -2.4x + 18</t>
  </si>
  <si>
    <t>Estimated Linear Demand Curve =</t>
  </si>
  <si>
    <t xml:space="preserve">New Price </t>
  </si>
  <si>
    <t>New Quantity</t>
  </si>
  <si>
    <t>New Profit</t>
  </si>
  <si>
    <t>Price (P)</t>
  </si>
  <si>
    <t>Demand (Q)</t>
  </si>
  <si>
    <t>e is 2 means if we increase the p by 1% demand will decrese by 2%</t>
  </si>
  <si>
    <t>New P</t>
  </si>
  <si>
    <t>New Q</t>
  </si>
  <si>
    <t xml:space="preserve">Demand </t>
  </si>
  <si>
    <t>New Price</t>
  </si>
  <si>
    <t>Profit</t>
  </si>
  <si>
    <t xml:space="preserve">Equation </t>
  </si>
  <si>
    <t>y = -2.4x + 18</t>
  </si>
  <si>
    <t>New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</si>
</sst>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 applyBorder="1"/>
    <xf numFmtId="2" fontId="0" fillId="4" borderId="1" xfId="0" applyNumberForma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75371828521432E-2"/>
          <c:y val="0.17634259259259263"/>
          <c:w val="0.861738626421697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Sheet1!$A$5:$A$6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Sheet1!$B$5:$B$6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C-4F41-85E5-EC74A1AE15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9928296"/>
        <c:axId val="569928624"/>
      </c:scatterChart>
      <c:valAx>
        <c:axId val="56992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28624"/>
        <c:crosses val="autoZero"/>
        <c:crossBetween val="midCat"/>
      </c:valAx>
      <c:valAx>
        <c:axId val="5699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2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5782407407407409"/>
          <c:w val="0.861738626421697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Demand (Q)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86351706036747E-2"/>
                  <c:y val="7.660761154855558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-2.4x + 18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Sheet2!$A$6:$A$7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Sheet2!$B$6:$B$7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3-4D64-A57F-E3ABF922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674752"/>
        <c:axId val="563676392"/>
      </c:scatterChart>
      <c:valAx>
        <c:axId val="56367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676392"/>
        <c:crosses val="autoZero"/>
        <c:crossBetween val="midCat"/>
      </c:valAx>
      <c:valAx>
        <c:axId val="56367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67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2130796150481189E-2"/>
                  <c:y val="-1.59849810440361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Sheet3!$A$4:$A$5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Sheet3!$B$4:$B$5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9-40F5-B309-C1E10CFAF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43696"/>
        <c:axId val="577744352"/>
      </c:scatterChart>
      <c:valAx>
        <c:axId val="5777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44352"/>
        <c:crosses val="autoZero"/>
        <c:crossBetween val="midCat"/>
      </c:valAx>
      <c:valAx>
        <c:axId val="5777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4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Sheet4!$A$5:$A$6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Sheet4!$B$5:$B$6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3-479A-8258-57BE8DE0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96696"/>
        <c:axId val="562902600"/>
      </c:scatterChart>
      <c:valAx>
        <c:axId val="56289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02600"/>
        <c:crosses val="autoZero"/>
        <c:crossBetween val="midCat"/>
      </c:valAx>
      <c:valAx>
        <c:axId val="56290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9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99060</xdr:rowOff>
    </xdr:from>
    <xdr:to>
      <xdr:col>12</xdr:col>
      <xdr:colOff>304800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8334F-0C2C-4B45-B8EF-84EA8BC52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7</xdr:row>
      <xdr:rowOff>137160</xdr:rowOff>
    </xdr:from>
    <xdr:to>
      <xdr:col>12</xdr:col>
      <xdr:colOff>243840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E3B4E-54C0-455E-A6FD-253275199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6</xdr:row>
      <xdr:rowOff>167640</xdr:rowOff>
    </xdr:from>
    <xdr:to>
      <xdr:col>15</xdr:col>
      <xdr:colOff>45720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9CEF6-3975-40EE-AE49-F7DB00849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167640</xdr:rowOff>
    </xdr:from>
    <xdr:to>
      <xdr:col>15</xdr:col>
      <xdr:colOff>228600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D09E1-C266-46E9-BBF3-6887B9924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83AD-FDC2-49AF-A8C6-06C00C501F85}">
  <dimension ref="A1:AA21"/>
  <sheetViews>
    <sheetView tabSelected="1" workbookViewId="0">
      <selection activeCell="C21" sqref="C21"/>
    </sheetView>
  </sheetViews>
  <sheetFormatPr defaultRowHeight="14.4" x14ac:dyDescent="0.3"/>
  <cols>
    <col min="1" max="1" width="5" bestFit="1" customWidth="1"/>
    <col min="2" max="2" width="28.77734375" bestFit="1" customWidth="1"/>
    <col min="3" max="3" width="33" bestFit="1" customWidth="1"/>
  </cols>
  <sheetData>
    <row r="1" spans="1:27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4" spans="1:27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27" x14ac:dyDescent="0.3">
      <c r="A5" s="1">
        <v>5</v>
      </c>
      <c r="B5" s="1">
        <v>6</v>
      </c>
      <c r="C5" s="1">
        <v>2</v>
      </c>
      <c r="D5" s="1">
        <v>2</v>
      </c>
    </row>
    <row r="6" spans="1:27" x14ac:dyDescent="0.3">
      <c r="A6" s="1">
        <v>5.05</v>
      </c>
      <c r="B6" s="1">
        <f>B5-B5*C5%</f>
        <v>5.88</v>
      </c>
    </row>
    <row r="8" spans="1:27" x14ac:dyDescent="0.3">
      <c r="B8" s="2" t="s">
        <v>5</v>
      </c>
      <c r="C8" s="2"/>
      <c r="D8" s="2"/>
    </row>
    <row r="9" spans="1:27" x14ac:dyDescent="0.3">
      <c r="B9" s="2" t="s">
        <v>6</v>
      </c>
      <c r="C9" s="2">
        <v>5</v>
      </c>
      <c r="D9" s="2"/>
    </row>
    <row r="10" spans="1:27" x14ac:dyDescent="0.3">
      <c r="B10" s="2" t="s">
        <v>7</v>
      </c>
      <c r="C10" s="2">
        <v>6</v>
      </c>
      <c r="D10" s="2" t="s">
        <v>10</v>
      </c>
    </row>
    <row r="11" spans="1:27" x14ac:dyDescent="0.3">
      <c r="B11" s="2" t="s">
        <v>4</v>
      </c>
      <c r="C11" s="2">
        <v>2</v>
      </c>
      <c r="D11" s="2"/>
    </row>
    <row r="12" spans="1:27" x14ac:dyDescent="0.3">
      <c r="B12" s="2" t="s">
        <v>3</v>
      </c>
      <c r="C12" s="2">
        <v>2</v>
      </c>
      <c r="D12" s="2"/>
    </row>
    <row r="13" spans="1:27" x14ac:dyDescent="0.3">
      <c r="B13" s="2" t="s">
        <v>8</v>
      </c>
      <c r="C13" s="2" t="s">
        <v>9</v>
      </c>
      <c r="D13" s="2"/>
    </row>
    <row r="14" spans="1:27" x14ac:dyDescent="0.3">
      <c r="B14" s="2" t="s">
        <v>8</v>
      </c>
      <c r="C14" s="2">
        <f>(C9-C11)*C10</f>
        <v>18</v>
      </c>
      <c r="D14" s="2" t="s">
        <v>10</v>
      </c>
    </row>
    <row r="17" spans="2:4" x14ac:dyDescent="0.3">
      <c r="B17" s="4" t="s">
        <v>12</v>
      </c>
      <c r="C17" s="3" t="s">
        <v>11</v>
      </c>
    </row>
    <row r="19" spans="2:4" x14ac:dyDescent="0.3">
      <c r="B19" s="2" t="s">
        <v>13</v>
      </c>
      <c r="C19" s="5">
        <v>4.7499999908759358</v>
      </c>
      <c r="D19" s="2"/>
    </row>
    <row r="20" spans="2:4" x14ac:dyDescent="0.3">
      <c r="B20" s="2" t="s">
        <v>14</v>
      </c>
      <c r="C20" s="5">
        <f>18-(2.4*C19)</f>
        <v>6.6000000218977544</v>
      </c>
      <c r="D20" s="2"/>
    </row>
    <row r="21" spans="2:4" ht="18" x14ac:dyDescent="0.35">
      <c r="B21" s="6" t="s">
        <v>15</v>
      </c>
      <c r="C21" s="7">
        <f>(C19-C11)*C20</f>
        <v>18.150000000000002</v>
      </c>
      <c r="D21" s="6" t="s">
        <v>10</v>
      </c>
    </row>
  </sheetData>
  <mergeCells count="1">
    <mergeCell ref="A1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A6F0-A74C-4041-97BF-4160B7CCC71A}">
  <dimension ref="A1:AA14"/>
  <sheetViews>
    <sheetView workbookViewId="0">
      <selection activeCell="B12" sqref="B12"/>
    </sheetView>
  </sheetViews>
  <sheetFormatPr defaultRowHeight="14.4" x14ac:dyDescent="0.3"/>
  <sheetData>
    <row r="1" spans="1:27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4" spans="1:27" x14ac:dyDescent="0.3">
      <c r="A4" s="8" t="s">
        <v>5</v>
      </c>
      <c r="B4" s="8"/>
      <c r="C4" s="8"/>
    </row>
    <row r="5" spans="1:27" x14ac:dyDescent="0.3">
      <c r="A5" s="8" t="s">
        <v>16</v>
      </c>
      <c r="B5" s="8" t="s">
        <v>17</v>
      </c>
      <c r="C5" s="8" t="s">
        <v>3</v>
      </c>
      <c r="E5" t="s">
        <v>18</v>
      </c>
    </row>
    <row r="6" spans="1:27" x14ac:dyDescent="0.3">
      <c r="A6" s="8">
        <v>5</v>
      </c>
      <c r="B6" s="8">
        <v>6</v>
      </c>
      <c r="C6" s="8">
        <v>2</v>
      </c>
    </row>
    <row r="7" spans="1:27" x14ac:dyDescent="0.3">
      <c r="A7" s="8">
        <v>5.05</v>
      </c>
      <c r="B7" s="8">
        <f>B6-B6*C6%</f>
        <v>5.88</v>
      </c>
      <c r="C7" s="8"/>
    </row>
    <row r="9" spans="1:27" x14ac:dyDescent="0.3">
      <c r="A9" s="8" t="s">
        <v>8</v>
      </c>
      <c r="B9" s="8">
        <f>(A6-2)*B6</f>
        <v>18</v>
      </c>
    </row>
    <row r="11" spans="1:27" x14ac:dyDescent="0.3">
      <c r="A11" s="8" t="s">
        <v>19</v>
      </c>
      <c r="B11" s="8">
        <v>4.7499999999999982</v>
      </c>
    </row>
    <row r="12" spans="1:27" x14ac:dyDescent="0.3">
      <c r="A12" s="8" t="s">
        <v>20</v>
      </c>
      <c r="B12" s="8">
        <f>-2.4*B11+18</f>
        <v>6.600000000000005</v>
      </c>
    </row>
    <row r="13" spans="1:27" x14ac:dyDescent="0.3">
      <c r="A13" s="8" t="s">
        <v>4</v>
      </c>
      <c r="B13" s="8">
        <v>2</v>
      </c>
    </row>
    <row r="14" spans="1:27" x14ac:dyDescent="0.3">
      <c r="A14" s="8" t="s">
        <v>15</v>
      </c>
      <c r="B14" s="8">
        <f>(B11-B13)*B12</f>
        <v>18.150000000000002</v>
      </c>
    </row>
  </sheetData>
  <mergeCells count="1">
    <mergeCell ref="A1:A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D4DD-F471-4335-A5E2-32A1DC61E1E0}">
  <dimension ref="A1:AA16"/>
  <sheetViews>
    <sheetView workbookViewId="0">
      <selection activeCell="D27" sqref="D27"/>
    </sheetView>
  </sheetViews>
  <sheetFormatPr defaultRowHeight="14.4" x14ac:dyDescent="0.3"/>
  <cols>
    <col min="1" max="1" width="12.21875" bestFit="1" customWidth="1"/>
  </cols>
  <sheetData>
    <row r="1" spans="1:27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3">
      <c r="A3" t="s">
        <v>1</v>
      </c>
      <c r="B3" t="s">
        <v>21</v>
      </c>
      <c r="C3" t="s">
        <v>3</v>
      </c>
    </row>
    <row r="4" spans="1:27" x14ac:dyDescent="0.3">
      <c r="A4">
        <v>5</v>
      </c>
      <c r="B4">
        <v>6</v>
      </c>
      <c r="C4">
        <v>2</v>
      </c>
    </row>
    <row r="5" spans="1:27" x14ac:dyDescent="0.3">
      <c r="A5">
        <f>A4+A4*1%</f>
        <v>5.05</v>
      </c>
      <c r="B5">
        <f>B4-B4*2%</f>
        <v>5.88</v>
      </c>
    </row>
    <row r="7" spans="1:27" x14ac:dyDescent="0.3">
      <c r="A7" t="s">
        <v>5</v>
      </c>
    </row>
    <row r="8" spans="1:27" x14ac:dyDescent="0.3">
      <c r="A8" t="s">
        <v>6</v>
      </c>
      <c r="B8">
        <v>5</v>
      </c>
    </row>
    <row r="9" spans="1:27" x14ac:dyDescent="0.3">
      <c r="A9" t="s">
        <v>7</v>
      </c>
      <c r="B9">
        <v>6</v>
      </c>
    </row>
    <row r="10" spans="1:27" x14ac:dyDescent="0.3">
      <c r="A10" t="s">
        <v>3</v>
      </c>
      <c r="B10">
        <v>2</v>
      </c>
    </row>
    <row r="11" spans="1:27" x14ac:dyDescent="0.3">
      <c r="A11" t="s">
        <v>4</v>
      </c>
      <c r="B11">
        <v>2</v>
      </c>
    </row>
    <row r="12" spans="1:27" x14ac:dyDescent="0.3">
      <c r="A12" t="s">
        <v>8</v>
      </c>
      <c r="B12">
        <f>(B8-B11)*B9</f>
        <v>18</v>
      </c>
    </row>
    <row r="14" spans="1:27" x14ac:dyDescent="0.3">
      <c r="A14" t="s">
        <v>22</v>
      </c>
      <c r="B14">
        <v>4.7499999908759358</v>
      </c>
    </row>
    <row r="15" spans="1:27" x14ac:dyDescent="0.3">
      <c r="A15" t="s">
        <v>14</v>
      </c>
      <c r="B15">
        <f>-2.4*B14+18</f>
        <v>6.6000000218977544</v>
      </c>
    </row>
    <row r="16" spans="1:27" x14ac:dyDescent="0.3">
      <c r="A16" t="s">
        <v>15</v>
      </c>
      <c r="B16">
        <f>(B14-B11)*B15</f>
        <v>18.150000000000002</v>
      </c>
    </row>
  </sheetData>
  <mergeCells count="1">
    <mergeCell ref="A1:AA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49D0-7035-4182-AA15-99FDB2F7A08E}">
  <dimension ref="A1:AA18"/>
  <sheetViews>
    <sheetView workbookViewId="0">
      <selection activeCell="B19" sqref="B19"/>
    </sheetView>
  </sheetViews>
  <sheetFormatPr defaultRowHeight="14.4" x14ac:dyDescent="0.3"/>
  <cols>
    <col min="1" max="1" width="11.5546875" bestFit="1" customWidth="1"/>
    <col min="2" max="2" width="11.77734375" bestFit="1" customWidth="1"/>
  </cols>
  <sheetData>
    <row r="1" spans="1:27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4" spans="1:27" x14ac:dyDescent="0.3">
      <c r="A4" t="s">
        <v>1</v>
      </c>
      <c r="B4" t="s">
        <v>21</v>
      </c>
      <c r="C4" t="s">
        <v>3</v>
      </c>
    </row>
    <row r="5" spans="1:27" x14ac:dyDescent="0.3">
      <c r="A5">
        <v>5</v>
      </c>
      <c r="B5">
        <v>6</v>
      </c>
      <c r="C5">
        <v>2</v>
      </c>
    </row>
    <row r="6" spans="1:27" x14ac:dyDescent="0.3">
      <c r="A6">
        <f>A5+A5*1%</f>
        <v>5.05</v>
      </c>
      <c r="B6">
        <f>B5-B5*2%</f>
        <v>5.88</v>
      </c>
    </row>
    <row r="8" spans="1:27" x14ac:dyDescent="0.3">
      <c r="A8" t="s">
        <v>5</v>
      </c>
    </row>
    <row r="9" spans="1:27" x14ac:dyDescent="0.3">
      <c r="A9" t="s">
        <v>6</v>
      </c>
      <c r="B9">
        <v>5</v>
      </c>
    </row>
    <row r="10" spans="1:27" x14ac:dyDescent="0.3">
      <c r="A10" t="s">
        <v>4</v>
      </c>
      <c r="B10">
        <v>2</v>
      </c>
    </row>
    <row r="11" spans="1:27" x14ac:dyDescent="0.3">
      <c r="A11" t="s">
        <v>7</v>
      </c>
      <c r="B11">
        <v>6</v>
      </c>
    </row>
    <row r="12" spans="1:27" x14ac:dyDescent="0.3">
      <c r="A12" t="s">
        <v>23</v>
      </c>
      <c r="B12">
        <f>(B9-B10)*B11</f>
        <v>18</v>
      </c>
    </row>
    <row r="14" spans="1:27" x14ac:dyDescent="0.3">
      <c r="A14" t="s">
        <v>24</v>
      </c>
      <c r="B14" t="s">
        <v>25</v>
      </c>
    </row>
    <row r="16" spans="1:27" x14ac:dyDescent="0.3">
      <c r="A16" t="s">
        <v>22</v>
      </c>
      <c r="B16">
        <v>4.7499999908759358</v>
      </c>
    </row>
    <row r="17" spans="1:2" x14ac:dyDescent="0.3">
      <c r="A17" t="s">
        <v>26</v>
      </c>
      <c r="B17">
        <f>-2.4*B16+18</f>
        <v>6.6000000218977544</v>
      </c>
    </row>
    <row r="18" spans="1:2" x14ac:dyDescent="0.3">
      <c r="A18" t="s">
        <v>15</v>
      </c>
      <c r="B18">
        <f>(B16-B10)*B17</f>
        <v>18.150000000000002</v>
      </c>
    </row>
  </sheetData>
  <mergeCells count="1">
    <mergeCell ref="A1:A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Mehta</dc:creator>
  <cp:lastModifiedBy>Sujal Mehta</cp:lastModifiedBy>
  <dcterms:created xsi:type="dcterms:W3CDTF">2024-02-14T11:51:35Z</dcterms:created>
  <dcterms:modified xsi:type="dcterms:W3CDTF">2024-06-20T08:33:03Z</dcterms:modified>
</cp:coreProperties>
</file>