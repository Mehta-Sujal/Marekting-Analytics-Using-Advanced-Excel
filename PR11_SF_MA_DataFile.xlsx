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Marketing Analytics\"/>
    </mc:Choice>
  </mc:AlternateContent>
  <xr:revisionPtr revIDLastSave="0" documentId="13_ncr:1_{6109C15F-9D3F-40E5-BBB2-0F9959FBF56C}" xr6:coauthVersionLast="36" xr6:coauthVersionMax="47" xr10:uidLastSave="{00000000-0000-0000-0000-000000000000}"/>
  <bookViews>
    <workbookView xWindow="0" yWindow="0" windowWidth="23040" windowHeight="8940" activeTab="3" xr2:uid="{CFF82B19-43D9-4FE0-A240-9AF70723A97F}"/>
  </bookViews>
  <sheets>
    <sheet name="Problem" sheetId="1" r:id="rId1"/>
    <sheet name="Practice" sheetId="2" r:id="rId2"/>
    <sheet name="Sheet1" sheetId="3" r:id="rId3"/>
    <sheet name="Sheet2" sheetId="4" r:id="rId4"/>
  </sheets>
  <externalReferences>
    <externalReference r:id="rId5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ntercept" localSheetId="0">Problem!#REF!</definedName>
    <definedName name="intercept">[1]Sheet1!$F$2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eason">[1]Sheet1!$J$3:$L$6</definedName>
    <definedName name="Slope" localSheetId="0">Problem!#REF!</definedName>
    <definedName name="slope">[1]Sheet1!$F$1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4" l="1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K14" i="3"/>
  <c r="J10" i="2"/>
  <c r="G8" i="1" l="1"/>
  <c r="G8" i="4"/>
  <c r="J7" i="4" l="1"/>
  <c r="K7" i="4" s="1"/>
  <c r="H27" i="4" s="1"/>
  <c r="J8" i="4"/>
  <c r="K8" i="4" s="1"/>
  <c r="H28" i="4" s="1"/>
  <c r="J9" i="4"/>
  <c r="K9" i="4" s="1"/>
  <c r="H29" i="4" s="1"/>
  <c r="J6" i="4"/>
  <c r="K6" i="4" s="1"/>
  <c r="F27" i="4"/>
  <c r="F28" i="4"/>
  <c r="F29" i="4"/>
  <c r="F26" i="4"/>
  <c r="I3" i="4"/>
  <c r="I2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8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7" i="4"/>
  <c r="K11" i="4" l="1"/>
  <c r="H26" i="4"/>
  <c r="H27" i="3"/>
  <c r="H28" i="3"/>
  <c r="H29" i="3"/>
  <c r="H26" i="3"/>
  <c r="L14" i="3"/>
  <c r="L11" i="3"/>
  <c r="L12" i="3"/>
  <c r="L13" i="3"/>
  <c r="L10" i="3"/>
  <c r="K11" i="3"/>
  <c r="K12" i="3"/>
  <c r="K13" i="3"/>
  <c r="K10" i="3"/>
  <c r="F27" i="3"/>
  <c r="F28" i="3"/>
  <c r="F29" i="3"/>
  <c r="F26" i="3"/>
  <c r="J6" i="3"/>
  <c r="J5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8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7" i="3"/>
  <c r="H27" i="2" l="1"/>
  <c r="H28" i="2"/>
  <c r="H29" i="2"/>
  <c r="H26" i="2"/>
  <c r="I26" i="1"/>
  <c r="K10" i="2"/>
  <c r="K7" i="2"/>
  <c r="K8" i="2"/>
  <c r="K9" i="2"/>
  <c r="K6" i="2"/>
  <c r="G9" i="2"/>
  <c r="G10" i="2"/>
  <c r="G11" i="2"/>
  <c r="G12" i="2"/>
  <c r="J8" i="2" s="1"/>
  <c r="G13" i="2"/>
  <c r="J9" i="2" s="1"/>
  <c r="G14" i="2"/>
  <c r="J6" i="2" s="1"/>
  <c r="G15" i="2"/>
  <c r="J7" i="2" s="1"/>
  <c r="G16" i="2"/>
  <c r="G17" i="2"/>
  <c r="G18" i="2"/>
  <c r="G19" i="2"/>
  <c r="G20" i="2"/>
  <c r="G21" i="2"/>
  <c r="G22" i="2"/>
  <c r="G23" i="2"/>
  <c r="G8" i="2"/>
  <c r="F27" i="2"/>
  <c r="F28" i="2"/>
  <c r="F29" i="2"/>
  <c r="F26" i="2"/>
  <c r="F26" i="1"/>
  <c r="I3" i="2"/>
  <c r="I2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8" i="2"/>
  <c r="F8" i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7" i="2"/>
  <c r="E7" i="1"/>
  <c r="J9" i="1" l="1"/>
  <c r="J11" i="1"/>
  <c r="J8" i="1"/>
  <c r="I2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I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F29" i="1" l="1"/>
  <c r="F28" i="1"/>
  <c r="J10" i="1"/>
  <c r="F27" i="1"/>
  <c r="J12" i="1" l="1"/>
  <c r="K11" i="1" s="1"/>
  <c r="I29" i="1" s="1"/>
  <c r="K8" i="1" l="1"/>
  <c r="K10" i="1"/>
  <c r="I28" i="1" s="1"/>
  <c r="K9" i="1"/>
  <c r="I27" i="1" s="1"/>
  <c r="K12" i="1" l="1"/>
</calcChain>
</file>

<file path=xl/sharedStrings.xml><?xml version="1.0" encoding="utf-8"?>
<sst xmlns="http://schemas.openxmlformats.org/spreadsheetml/2006/main" count="58" uniqueCount="18">
  <si>
    <t>Year</t>
  </si>
  <si>
    <t>Quarter</t>
  </si>
  <si>
    <t>Sales</t>
  </si>
  <si>
    <r>
      <rPr>
        <b/>
        <sz val="12"/>
        <color theme="1"/>
        <rFont val="Times New Roman"/>
        <family val="1"/>
      </rPr>
      <t>PR11_Ratio to Moving Average for sales forecasting</t>
    </r>
    <r>
      <rPr>
        <sz val="12"/>
        <color theme="1"/>
        <rFont val="Times New Roman"/>
        <family val="1"/>
      </rPr>
      <t xml:space="preserve">
A company has provided sales data of 20 quarters of a seasonal product. The company wants to know how much the product will sale in following four quarters. Use ratio to moving average method to forecast the sales.  </t>
    </r>
  </si>
  <si>
    <t>Moving Average</t>
  </si>
  <si>
    <t>Seasonal Indices</t>
  </si>
  <si>
    <t>y=a+bx</t>
  </si>
  <si>
    <t>Quarter# (x)</t>
  </si>
  <si>
    <t>Centered Moving Average (y)</t>
  </si>
  <si>
    <t>Intercept (a)</t>
  </si>
  <si>
    <t>Slope (b)</t>
  </si>
  <si>
    <t>Average Seasonal Index</t>
  </si>
  <si>
    <t>Normalized Index</t>
  </si>
  <si>
    <t>Sales Forcast</t>
  </si>
  <si>
    <t>y = a + bx</t>
  </si>
  <si>
    <t>Centered Moving Average</t>
  </si>
  <si>
    <t>y = a +bx</t>
  </si>
  <si>
    <t>Average Seasonal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</si>
</sst>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4" fillId="0" borderId="1" xfId="0" applyFont="1" applyBorder="1"/>
    <xf numFmtId="2" fontId="0" fillId="3" borderId="1" xfId="0" applyNumberFormat="1" applyFill="1" applyBorder="1"/>
    <xf numFmtId="2" fontId="0" fillId="3" borderId="0" xfId="0" applyNumberFormat="1" applyFill="1"/>
    <xf numFmtId="1" fontId="0" fillId="0" borderId="0" xfId="0" applyNumberFormat="1"/>
    <xf numFmtId="0" fontId="4" fillId="0" borderId="0" xfId="0" applyFont="1"/>
    <xf numFmtId="0" fontId="2" fillId="0" borderId="0" xfId="0" applyFont="1" applyAlignment="1">
      <alignment horizontal="left" vertical="center" wrapText="1"/>
    </xf>
    <xf numFmtId="2" fontId="5" fillId="4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wapnil\E\Dr%20Swapnil%20Undale\Academics\MA\MA%20Course%20File\MA%20Practicals\PR11_Ratio%20to%20Moving%20Average%20for%20sales%20foreca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blem"/>
      <sheetName val="Sheet1"/>
      <sheetName val="Sheet2"/>
    </sheetNames>
    <sheetDataSet>
      <sheetData sheetId="0"/>
      <sheetData sheetId="1">
        <row r="1">
          <cell r="F1">
            <v>6.9387867647058821</v>
          </cell>
        </row>
        <row r="2">
          <cell r="F2">
            <v>30.16617647058824</v>
          </cell>
        </row>
        <row r="3">
          <cell r="J3">
            <v>1</v>
          </cell>
          <cell r="K3">
            <v>0.81854690554554421</v>
          </cell>
          <cell r="L3">
            <v>0.81373678491001522</v>
          </cell>
        </row>
        <row r="4">
          <cell r="J4">
            <v>2</v>
          </cell>
          <cell r="K4">
            <v>0.93933954681153753</v>
          </cell>
          <cell r="L4">
            <v>0.93381959858709795</v>
          </cell>
        </row>
        <row r="5">
          <cell r="J5">
            <v>3</v>
          </cell>
          <cell r="K5">
            <v>1.0673637007255923</v>
          </cell>
          <cell r="L5">
            <v>1.0610914295488381</v>
          </cell>
        </row>
        <row r="6">
          <cell r="J6">
            <v>4</v>
          </cell>
          <cell r="K6">
            <v>1.1983944490772782</v>
          </cell>
          <cell r="L6">
            <v>1.1913521869540489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D392-6454-4DFE-8747-4EBA83D7400A}">
  <dimension ref="A1:K29"/>
  <sheetViews>
    <sheetView topLeftCell="A7" zoomScale="110" zoomScaleNormal="110" workbookViewId="0">
      <selection activeCell="J12" sqref="J12"/>
    </sheetView>
  </sheetViews>
  <sheetFormatPr defaultRowHeight="13.8"/>
  <cols>
    <col min="1" max="1" width="11.296875" bestFit="1" customWidth="1"/>
    <col min="2" max="2" width="5" bestFit="1" customWidth="1"/>
    <col min="3" max="3" width="7.5" bestFit="1" customWidth="1"/>
    <col min="4" max="4" width="5.69921875" bestFit="1" customWidth="1"/>
    <col min="5" max="5" width="15.296875" bestFit="1" customWidth="1"/>
    <col min="6" max="6" width="27" bestFit="1" customWidth="1"/>
    <col min="7" max="7" width="15.796875" bestFit="1" customWidth="1"/>
    <col min="8" max="8" width="11.3984375" bestFit="1" customWidth="1"/>
    <col min="9" max="9" width="12.69921875" bestFit="1" customWidth="1"/>
    <col min="10" max="10" width="22.5" bestFit="1" customWidth="1"/>
    <col min="11" max="11" width="16.296875" bestFit="1" customWidth="1"/>
  </cols>
  <sheetData>
    <row r="1" spans="1:11" ht="24" customHeight="1">
      <c r="A1" s="17" t="s">
        <v>3</v>
      </c>
      <c r="B1" s="17"/>
      <c r="C1" s="17"/>
      <c r="D1" s="17"/>
      <c r="E1" s="17"/>
      <c r="F1" s="17"/>
    </row>
    <row r="2" spans="1:11">
      <c r="A2" s="17"/>
      <c r="B2" s="17"/>
      <c r="C2" s="17"/>
      <c r="D2" s="17"/>
      <c r="E2" s="17"/>
      <c r="F2" s="17"/>
      <c r="H2" s="12" t="s">
        <v>9</v>
      </c>
      <c r="I2" s="8">
        <f>INTERCEPT(F8:F23,A8:A23)</f>
        <v>30.16617647058824</v>
      </c>
    </row>
    <row r="3" spans="1:11">
      <c r="A3" s="17"/>
      <c r="B3" s="17"/>
      <c r="C3" s="17"/>
      <c r="D3" s="17"/>
      <c r="E3" s="17"/>
      <c r="F3" s="17"/>
      <c r="G3" s="7" t="s">
        <v>6</v>
      </c>
      <c r="H3" s="12" t="s">
        <v>10</v>
      </c>
      <c r="I3" s="8">
        <f>SLOPE(F8:F23,A8:A23)</f>
        <v>6.9387867647058821</v>
      </c>
    </row>
    <row r="4" spans="1:11" ht="15.6">
      <c r="A4" s="4"/>
      <c r="B4" s="4"/>
      <c r="C4" s="4"/>
      <c r="D4" s="4"/>
    </row>
    <row r="5" spans="1:11">
      <c r="A5" s="2" t="s">
        <v>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8</v>
      </c>
      <c r="G5" s="2" t="s">
        <v>5</v>
      </c>
    </row>
    <row r="6" spans="1:11">
      <c r="A6" s="1">
        <v>1</v>
      </c>
      <c r="B6" s="1">
        <v>1</v>
      </c>
      <c r="C6" s="1">
        <v>1</v>
      </c>
      <c r="D6" s="1">
        <v>24</v>
      </c>
    </row>
    <row r="7" spans="1:11">
      <c r="A7" s="3">
        <v>2</v>
      </c>
      <c r="B7" s="1">
        <v>1</v>
      </c>
      <c r="C7" s="1">
        <v>2</v>
      </c>
      <c r="D7" s="1">
        <v>44</v>
      </c>
      <c r="E7">
        <f>AVERAGE(D6:D9)</f>
        <v>52</v>
      </c>
      <c r="I7" s="12" t="s">
        <v>1</v>
      </c>
      <c r="J7" s="12" t="s">
        <v>11</v>
      </c>
      <c r="K7" s="12" t="s">
        <v>12</v>
      </c>
    </row>
    <row r="8" spans="1:11">
      <c r="A8" s="1">
        <v>3</v>
      </c>
      <c r="B8" s="1">
        <v>1</v>
      </c>
      <c r="C8" s="1">
        <v>3</v>
      </c>
      <c r="D8" s="1">
        <v>61</v>
      </c>
      <c r="E8">
        <f t="shared" ref="E8:E23" si="0">AVERAGE(D7:D10)</f>
        <v>58</v>
      </c>
      <c r="F8" s="6">
        <f>AVERAGE(E7:E8)</f>
        <v>55</v>
      </c>
      <c r="G8" s="6">
        <f>D8/F8</f>
        <v>1.1090909090909091</v>
      </c>
      <c r="I8" s="7">
        <v>1</v>
      </c>
      <c r="J8" s="8">
        <f>AVERAGEIF($C$8:$C$23,I8,$G$8:$G$23)</f>
        <v>0.81854690554554421</v>
      </c>
      <c r="K8" s="8">
        <f>J8/AVERAGE($J$8:$J$12)</f>
        <v>0.81373678491001522</v>
      </c>
    </row>
    <row r="9" spans="1:11">
      <c r="A9" s="1">
        <v>4</v>
      </c>
      <c r="B9" s="1">
        <v>1</v>
      </c>
      <c r="C9" s="1">
        <v>4</v>
      </c>
      <c r="D9" s="1">
        <v>79</v>
      </c>
      <c r="E9">
        <f t="shared" si="0"/>
        <v>63.5</v>
      </c>
      <c r="F9" s="6">
        <f t="shared" ref="F9:F23" si="1">AVERAGE(E8:E9)</f>
        <v>60.75</v>
      </c>
      <c r="G9" s="6">
        <f t="shared" ref="G9:G23" si="2">D9/F9</f>
        <v>1.3004115226337449</v>
      </c>
      <c r="I9" s="7">
        <v>2</v>
      </c>
      <c r="J9" s="8">
        <f t="shared" ref="J9:J11" si="3">AVERAGEIF($C$8:$C$23,I9,$G$8:$G$23)</f>
        <v>0.93933954681153753</v>
      </c>
      <c r="K9" s="8">
        <f t="shared" ref="K9:K11" si="4">J9/AVERAGE($J$8:$J$12)</f>
        <v>0.93381959858709795</v>
      </c>
    </row>
    <row r="10" spans="1:11">
      <c r="A10" s="1">
        <v>5</v>
      </c>
      <c r="B10" s="1">
        <v>2</v>
      </c>
      <c r="C10" s="1">
        <v>1</v>
      </c>
      <c r="D10" s="1">
        <v>48</v>
      </c>
      <c r="E10">
        <f t="shared" si="0"/>
        <v>71</v>
      </c>
      <c r="F10" s="6">
        <f t="shared" si="1"/>
        <v>67.25</v>
      </c>
      <c r="G10" s="6">
        <f t="shared" si="2"/>
        <v>0.71375464684014867</v>
      </c>
      <c r="I10" s="7">
        <v>3</v>
      </c>
      <c r="J10" s="8">
        <f t="shared" si="3"/>
        <v>1.0673637007255923</v>
      </c>
      <c r="K10" s="8">
        <f t="shared" si="4"/>
        <v>1.0610914295488381</v>
      </c>
    </row>
    <row r="11" spans="1:11">
      <c r="A11" s="1">
        <v>6</v>
      </c>
      <c r="B11" s="1">
        <v>2</v>
      </c>
      <c r="C11" s="1">
        <v>2</v>
      </c>
      <c r="D11" s="1">
        <v>66</v>
      </c>
      <c r="E11">
        <f t="shared" si="0"/>
        <v>77.5</v>
      </c>
      <c r="F11" s="6">
        <f t="shared" si="1"/>
        <v>74.25</v>
      </c>
      <c r="G11" s="6">
        <f t="shared" si="2"/>
        <v>0.88888888888888884</v>
      </c>
      <c r="I11" s="7">
        <v>4</v>
      </c>
      <c r="J11" s="8">
        <f t="shared" si="3"/>
        <v>1.1983944490772782</v>
      </c>
      <c r="K11" s="8">
        <f t="shared" si="4"/>
        <v>1.1913521869540489</v>
      </c>
    </row>
    <row r="12" spans="1:11">
      <c r="A12" s="1">
        <v>7</v>
      </c>
      <c r="B12" s="1">
        <v>2</v>
      </c>
      <c r="C12" s="1">
        <v>3</v>
      </c>
      <c r="D12" s="1">
        <v>91</v>
      </c>
      <c r="E12">
        <f t="shared" si="0"/>
        <v>82.5</v>
      </c>
      <c r="F12" s="6">
        <f t="shared" si="1"/>
        <v>80</v>
      </c>
      <c r="G12" s="6">
        <f t="shared" si="2"/>
        <v>1.1375</v>
      </c>
      <c r="I12" s="7"/>
      <c r="J12" s="13">
        <f>AVERAGE(J8:J11)</f>
        <v>1.005911150539988</v>
      </c>
      <c r="K12" s="13">
        <f>AVERAGE(K8:K11)</f>
        <v>1</v>
      </c>
    </row>
    <row r="13" spans="1:11">
      <c r="A13" s="1">
        <v>8</v>
      </c>
      <c r="B13" s="1">
        <v>2</v>
      </c>
      <c r="C13" s="1">
        <v>4</v>
      </c>
      <c r="D13" s="1">
        <v>105</v>
      </c>
      <c r="E13">
        <f t="shared" si="0"/>
        <v>87.25</v>
      </c>
      <c r="F13" s="6">
        <f t="shared" si="1"/>
        <v>84.875</v>
      </c>
      <c r="G13" s="6">
        <f t="shared" si="2"/>
        <v>1.2371134020618557</v>
      </c>
    </row>
    <row r="14" spans="1:11">
      <c r="A14" s="1">
        <v>9</v>
      </c>
      <c r="B14" s="1">
        <v>3</v>
      </c>
      <c r="C14" s="1">
        <v>1</v>
      </c>
      <c r="D14" s="1">
        <v>68</v>
      </c>
      <c r="E14">
        <f t="shared" si="0"/>
        <v>89.5</v>
      </c>
      <c r="F14" s="6">
        <f t="shared" si="1"/>
        <v>88.375</v>
      </c>
      <c r="G14" s="6">
        <f t="shared" si="2"/>
        <v>0.76944837340876948</v>
      </c>
    </row>
    <row r="15" spans="1:11">
      <c r="A15" s="1">
        <v>10</v>
      </c>
      <c r="B15" s="1">
        <v>3</v>
      </c>
      <c r="C15" s="1">
        <v>2</v>
      </c>
      <c r="D15" s="1">
        <v>85</v>
      </c>
      <c r="E15">
        <f t="shared" si="0"/>
        <v>94.5</v>
      </c>
      <c r="F15" s="6">
        <f t="shared" si="1"/>
        <v>92</v>
      </c>
      <c r="G15" s="6">
        <f t="shared" si="2"/>
        <v>0.92391304347826086</v>
      </c>
    </row>
    <row r="16" spans="1:11">
      <c r="A16" s="1">
        <v>11</v>
      </c>
      <c r="B16" s="1">
        <v>3</v>
      </c>
      <c r="C16" s="1">
        <v>3</v>
      </c>
      <c r="D16" s="1">
        <v>100</v>
      </c>
      <c r="E16">
        <f t="shared" si="0"/>
        <v>104.25</v>
      </c>
      <c r="F16" s="6">
        <f t="shared" si="1"/>
        <v>99.375</v>
      </c>
      <c r="G16" s="6">
        <f t="shared" si="2"/>
        <v>1.0062893081761006</v>
      </c>
    </row>
    <row r="17" spans="1:9">
      <c r="A17" s="1">
        <v>12</v>
      </c>
      <c r="B17" s="1">
        <v>3</v>
      </c>
      <c r="C17" s="1">
        <v>4</v>
      </c>
      <c r="D17" s="1">
        <v>125</v>
      </c>
      <c r="E17">
        <f t="shared" si="0"/>
        <v>114.25</v>
      </c>
      <c r="F17" s="6">
        <f t="shared" si="1"/>
        <v>109.25</v>
      </c>
      <c r="G17" s="6">
        <f t="shared" si="2"/>
        <v>1.1441647597254005</v>
      </c>
    </row>
    <row r="18" spans="1:9">
      <c r="A18" s="1">
        <v>13</v>
      </c>
      <c r="B18" s="1">
        <v>4</v>
      </c>
      <c r="C18" s="1">
        <v>1</v>
      </c>
      <c r="D18" s="1">
        <v>107</v>
      </c>
      <c r="E18">
        <f t="shared" si="0"/>
        <v>123.75</v>
      </c>
      <c r="F18" s="6">
        <f t="shared" si="1"/>
        <v>119</v>
      </c>
      <c r="G18" s="6">
        <f t="shared" si="2"/>
        <v>0.89915966386554624</v>
      </c>
    </row>
    <row r="19" spans="1:9">
      <c r="A19" s="1">
        <v>14</v>
      </c>
      <c r="B19" s="1">
        <v>4</v>
      </c>
      <c r="C19" s="1">
        <v>2</v>
      </c>
      <c r="D19" s="1">
        <v>125</v>
      </c>
      <c r="E19">
        <f t="shared" si="0"/>
        <v>132.25</v>
      </c>
      <c r="F19" s="6">
        <f t="shared" si="1"/>
        <v>128</v>
      </c>
      <c r="G19" s="6">
        <f t="shared" si="2"/>
        <v>0.9765625</v>
      </c>
    </row>
    <row r="20" spans="1:9">
      <c r="A20" s="1">
        <v>15</v>
      </c>
      <c r="B20" s="1">
        <v>4</v>
      </c>
      <c r="C20" s="1">
        <v>3</v>
      </c>
      <c r="D20" s="1">
        <v>138</v>
      </c>
      <c r="E20">
        <f t="shared" si="0"/>
        <v>139.25</v>
      </c>
      <c r="F20" s="6">
        <f t="shared" si="1"/>
        <v>135.75</v>
      </c>
      <c r="G20" s="6">
        <f t="shared" si="2"/>
        <v>1.0165745856353592</v>
      </c>
    </row>
    <row r="21" spans="1:9">
      <c r="A21" s="1">
        <v>16</v>
      </c>
      <c r="B21" s="1">
        <v>4</v>
      </c>
      <c r="C21" s="1">
        <v>4</v>
      </c>
      <c r="D21" s="1">
        <v>159</v>
      </c>
      <c r="E21">
        <f t="shared" si="0"/>
        <v>146.75</v>
      </c>
      <c r="F21" s="6">
        <f t="shared" si="1"/>
        <v>143</v>
      </c>
      <c r="G21" s="6">
        <f t="shared" si="2"/>
        <v>1.1118881118881119</v>
      </c>
    </row>
    <row r="22" spans="1:9">
      <c r="A22" s="1">
        <v>17</v>
      </c>
      <c r="B22" s="1">
        <v>5</v>
      </c>
      <c r="C22" s="1">
        <v>1</v>
      </c>
      <c r="D22" s="1">
        <v>135</v>
      </c>
      <c r="E22">
        <f t="shared" si="0"/>
        <v>156</v>
      </c>
      <c r="F22" s="6">
        <f t="shared" si="1"/>
        <v>151.375</v>
      </c>
      <c r="G22" s="6">
        <f t="shared" si="2"/>
        <v>0.89182493806771268</v>
      </c>
    </row>
    <row r="23" spans="1:9">
      <c r="A23" s="1">
        <v>18</v>
      </c>
      <c r="B23" s="1">
        <v>5</v>
      </c>
      <c r="C23" s="1">
        <v>2</v>
      </c>
      <c r="D23" s="1">
        <v>155</v>
      </c>
      <c r="E23">
        <f t="shared" si="0"/>
        <v>164.25</v>
      </c>
      <c r="F23" s="6">
        <f t="shared" si="1"/>
        <v>160.125</v>
      </c>
      <c r="G23" s="6">
        <f t="shared" si="2"/>
        <v>0.96799375487900075</v>
      </c>
    </row>
    <row r="24" spans="1:9">
      <c r="A24" s="1">
        <v>19</v>
      </c>
      <c r="B24" s="1">
        <v>5</v>
      </c>
      <c r="C24" s="1">
        <v>3</v>
      </c>
      <c r="D24" s="1">
        <v>175</v>
      </c>
    </row>
    <row r="25" spans="1:9">
      <c r="A25" s="1">
        <v>20</v>
      </c>
      <c r="B25" s="1">
        <v>5</v>
      </c>
      <c r="C25" s="1">
        <v>4</v>
      </c>
      <c r="D25" s="1">
        <v>192</v>
      </c>
      <c r="I25" s="12" t="s">
        <v>13</v>
      </c>
    </row>
    <row r="26" spans="1:9">
      <c r="A26" s="5">
        <v>21</v>
      </c>
      <c r="B26" s="5">
        <v>6</v>
      </c>
      <c r="C26" s="5">
        <v>1</v>
      </c>
      <c r="D26" s="5"/>
      <c r="F26" s="6">
        <f>$I$2+$I$3*A26</f>
        <v>175.88069852941175</v>
      </c>
      <c r="I26" s="9">
        <f>F26*K8</f>
        <v>143.12059414905116</v>
      </c>
    </row>
    <row r="27" spans="1:9">
      <c r="A27" s="5">
        <v>22</v>
      </c>
      <c r="B27" s="5">
        <v>6</v>
      </c>
      <c r="C27" s="5">
        <v>2</v>
      </c>
      <c r="D27" s="5"/>
      <c r="F27" s="6">
        <f t="shared" ref="F27:F29" si="5">$I$2+$I$3*A27</f>
        <v>182.81948529411767</v>
      </c>
      <c r="I27" s="10">
        <f t="shared" ref="I27:I29" si="6">F27*K9</f>
        <v>170.72041837125283</v>
      </c>
    </row>
    <row r="28" spans="1:9">
      <c r="A28" s="5">
        <v>23</v>
      </c>
      <c r="B28" s="5">
        <v>6</v>
      </c>
      <c r="C28" s="5">
        <v>3</v>
      </c>
      <c r="D28" s="5"/>
      <c r="F28" s="6">
        <f t="shared" si="5"/>
        <v>189.75827205882354</v>
      </c>
      <c r="I28" s="10">
        <f t="shared" si="6"/>
        <v>201.35087616761439</v>
      </c>
    </row>
    <row r="29" spans="1:9">
      <c r="A29" s="5">
        <v>24</v>
      </c>
      <c r="B29" s="5">
        <v>6</v>
      </c>
      <c r="C29" s="5">
        <v>4</v>
      </c>
      <c r="D29" s="5"/>
      <c r="F29" s="6">
        <f t="shared" si="5"/>
        <v>196.6970588235294</v>
      </c>
      <c r="I29" s="11">
        <f t="shared" si="6"/>
        <v>234.33547119684096</v>
      </c>
    </row>
  </sheetData>
  <mergeCells count="1">
    <mergeCell ref="A1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A436-7894-4F07-AB10-7194958FB3A8}">
  <dimension ref="A1:K29"/>
  <sheetViews>
    <sheetView workbookViewId="0">
      <selection activeCell="J11" sqref="J11"/>
    </sheetView>
  </sheetViews>
  <sheetFormatPr defaultRowHeight="13.8"/>
  <cols>
    <col min="1" max="1" width="11.296875" bestFit="1" customWidth="1"/>
    <col min="2" max="2" width="5" bestFit="1" customWidth="1"/>
    <col min="3" max="3" width="7.5" bestFit="1" customWidth="1"/>
    <col min="4" max="4" width="5.69921875" bestFit="1" customWidth="1"/>
    <col min="5" max="5" width="15.296875" bestFit="1" customWidth="1"/>
    <col min="6" max="6" width="27" bestFit="1" customWidth="1"/>
    <col min="7" max="7" width="15.796875" bestFit="1" customWidth="1"/>
    <col min="8" max="8" width="11.8984375" bestFit="1" customWidth="1"/>
    <col min="10" max="10" width="22.5" bestFit="1" customWidth="1"/>
    <col min="11" max="11" width="16.296875" bestFit="1" customWidth="1"/>
  </cols>
  <sheetData>
    <row r="1" spans="1:11">
      <c r="A1" s="17" t="s">
        <v>3</v>
      </c>
      <c r="B1" s="17"/>
      <c r="C1" s="17"/>
      <c r="D1" s="17"/>
      <c r="E1" s="17"/>
      <c r="F1" s="17"/>
    </row>
    <row r="2" spans="1:11">
      <c r="A2" s="17"/>
      <c r="B2" s="17"/>
      <c r="C2" s="17"/>
      <c r="D2" s="17"/>
      <c r="E2" s="17"/>
      <c r="F2" s="17"/>
      <c r="H2" s="7" t="s">
        <v>9</v>
      </c>
      <c r="I2" s="8">
        <f>INTERCEPT(F8:F23,A8:A23)</f>
        <v>30.16617647058824</v>
      </c>
    </row>
    <row r="3" spans="1:11">
      <c r="A3" s="17"/>
      <c r="B3" s="17"/>
      <c r="C3" s="17"/>
      <c r="D3" s="17"/>
      <c r="E3" s="17"/>
      <c r="F3" s="17"/>
      <c r="G3" s="7" t="s">
        <v>14</v>
      </c>
      <c r="H3" s="7" t="s">
        <v>10</v>
      </c>
      <c r="I3" s="8">
        <f>SLOPE(F8:F23,A8:A23)</f>
        <v>6.9387867647058821</v>
      </c>
    </row>
    <row r="5" spans="1:11">
      <c r="A5" s="2" t="s">
        <v>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8</v>
      </c>
      <c r="G5" s="2" t="s">
        <v>5</v>
      </c>
      <c r="I5" s="2" t="s">
        <v>1</v>
      </c>
      <c r="J5" s="2" t="s">
        <v>11</v>
      </c>
      <c r="K5" s="2" t="s">
        <v>12</v>
      </c>
    </row>
    <row r="6" spans="1:11">
      <c r="A6" s="1">
        <v>1</v>
      </c>
      <c r="B6" s="1">
        <v>1</v>
      </c>
      <c r="C6" s="1">
        <v>1</v>
      </c>
      <c r="D6" s="1">
        <v>24</v>
      </c>
      <c r="I6">
        <v>1</v>
      </c>
      <c r="J6" s="6">
        <f>AVERAGEIF($C$8:$C$23,I6,$G$8:$G$23)</f>
        <v>0.81854690554554421</v>
      </c>
      <c r="K6" s="6">
        <f>J6/AVERAGE($J$6:$J$9)</f>
        <v>0.81373678491001522</v>
      </c>
    </row>
    <row r="7" spans="1:11">
      <c r="A7" s="3">
        <v>2</v>
      </c>
      <c r="B7" s="1">
        <v>1</v>
      </c>
      <c r="C7" s="1">
        <v>2</v>
      </c>
      <c r="D7" s="1">
        <v>44</v>
      </c>
      <c r="E7">
        <f>AVERAGE(D6:D9)</f>
        <v>52</v>
      </c>
      <c r="I7">
        <v>2</v>
      </c>
      <c r="J7" s="6">
        <f t="shared" ref="J7:J9" si="0">AVERAGEIF($C$8:$C$23,I7,$G$8:$G$23)</f>
        <v>0.93933954681153753</v>
      </c>
      <c r="K7" s="6">
        <f t="shared" ref="K7:K9" si="1">J7/AVERAGE($J$6:$J$9)</f>
        <v>0.93381959858709795</v>
      </c>
    </row>
    <row r="8" spans="1:11">
      <c r="A8" s="1">
        <v>3</v>
      </c>
      <c r="B8" s="1">
        <v>1</v>
      </c>
      <c r="C8" s="1">
        <v>3</v>
      </c>
      <c r="D8" s="1">
        <v>61</v>
      </c>
      <c r="E8">
        <f t="shared" ref="E8:E23" si="2">AVERAGE(D7:D10)</f>
        <v>58</v>
      </c>
      <c r="F8" s="6">
        <f>AVERAGE(E7:E8)</f>
        <v>55</v>
      </c>
      <c r="G8" s="6">
        <f>D8/F8</f>
        <v>1.1090909090909091</v>
      </c>
      <c r="I8">
        <v>3</v>
      </c>
      <c r="J8" s="6">
        <f t="shared" si="0"/>
        <v>1.0673637007255923</v>
      </c>
      <c r="K8" s="6">
        <f t="shared" si="1"/>
        <v>1.0610914295488381</v>
      </c>
    </row>
    <row r="9" spans="1:11">
      <c r="A9" s="1">
        <v>4</v>
      </c>
      <c r="B9" s="1">
        <v>1</v>
      </c>
      <c r="C9" s="1">
        <v>4</v>
      </c>
      <c r="D9" s="1">
        <v>79</v>
      </c>
      <c r="E9">
        <f t="shared" si="2"/>
        <v>63.5</v>
      </c>
      <c r="F9" s="6">
        <f t="shared" ref="F9:F23" si="3">AVERAGE(E8:E9)</f>
        <v>60.75</v>
      </c>
      <c r="G9" s="6">
        <f t="shared" ref="G9:G23" si="4">D9/F9</f>
        <v>1.3004115226337449</v>
      </c>
      <c r="I9">
        <v>4</v>
      </c>
      <c r="J9" s="6">
        <f t="shared" si="0"/>
        <v>1.1983944490772782</v>
      </c>
      <c r="K9" s="6">
        <f t="shared" si="1"/>
        <v>1.1913521869540489</v>
      </c>
    </row>
    <row r="10" spans="1:11">
      <c r="A10" s="1">
        <v>5</v>
      </c>
      <c r="B10" s="1">
        <v>2</v>
      </c>
      <c r="C10" s="1">
        <v>1</v>
      </c>
      <c r="D10" s="1">
        <v>48</v>
      </c>
      <c r="E10">
        <f t="shared" si="2"/>
        <v>71</v>
      </c>
      <c r="F10" s="6">
        <f t="shared" si="3"/>
        <v>67.25</v>
      </c>
      <c r="G10" s="6">
        <f t="shared" si="4"/>
        <v>0.71375464684014867</v>
      </c>
      <c r="J10" s="6">
        <f>AVERAGE(J6:J9)</f>
        <v>1.005911150539988</v>
      </c>
      <c r="K10" s="14">
        <f>AVERAGE(K6:K9)</f>
        <v>1</v>
      </c>
    </row>
    <row r="11" spans="1:11">
      <c r="A11" s="1">
        <v>6</v>
      </c>
      <c r="B11" s="1">
        <v>2</v>
      </c>
      <c r="C11" s="1">
        <v>2</v>
      </c>
      <c r="D11" s="1">
        <v>66</v>
      </c>
      <c r="E11">
        <f t="shared" si="2"/>
        <v>77.5</v>
      </c>
      <c r="F11" s="6">
        <f t="shared" si="3"/>
        <v>74.25</v>
      </c>
      <c r="G11" s="6">
        <f t="shared" si="4"/>
        <v>0.88888888888888884</v>
      </c>
    </row>
    <row r="12" spans="1:11">
      <c r="A12" s="1">
        <v>7</v>
      </c>
      <c r="B12" s="1">
        <v>2</v>
      </c>
      <c r="C12" s="1">
        <v>3</v>
      </c>
      <c r="D12" s="1">
        <v>91</v>
      </c>
      <c r="E12">
        <f t="shared" si="2"/>
        <v>82.5</v>
      </c>
      <c r="F12" s="6">
        <f t="shared" si="3"/>
        <v>80</v>
      </c>
      <c r="G12" s="6">
        <f t="shared" si="4"/>
        <v>1.1375</v>
      </c>
    </row>
    <row r="13" spans="1:11">
      <c r="A13" s="1">
        <v>8</v>
      </c>
      <c r="B13" s="1">
        <v>2</v>
      </c>
      <c r="C13" s="1">
        <v>4</v>
      </c>
      <c r="D13" s="1">
        <v>105</v>
      </c>
      <c r="E13">
        <f t="shared" si="2"/>
        <v>87.25</v>
      </c>
      <c r="F13" s="6">
        <f t="shared" si="3"/>
        <v>84.875</v>
      </c>
      <c r="G13" s="6">
        <f t="shared" si="4"/>
        <v>1.2371134020618557</v>
      </c>
    </row>
    <row r="14" spans="1:11">
      <c r="A14" s="1">
        <v>9</v>
      </c>
      <c r="B14" s="1">
        <v>3</v>
      </c>
      <c r="C14" s="1">
        <v>1</v>
      </c>
      <c r="D14" s="1">
        <v>68</v>
      </c>
      <c r="E14">
        <f t="shared" si="2"/>
        <v>89.5</v>
      </c>
      <c r="F14" s="6">
        <f t="shared" si="3"/>
        <v>88.375</v>
      </c>
      <c r="G14" s="6">
        <f t="shared" si="4"/>
        <v>0.76944837340876948</v>
      </c>
    </row>
    <row r="15" spans="1:11">
      <c r="A15" s="1">
        <v>10</v>
      </c>
      <c r="B15" s="1">
        <v>3</v>
      </c>
      <c r="C15" s="1">
        <v>2</v>
      </c>
      <c r="D15" s="1">
        <v>85</v>
      </c>
      <c r="E15">
        <f t="shared" si="2"/>
        <v>94.5</v>
      </c>
      <c r="F15" s="6">
        <f t="shared" si="3"/>
        <v>92</v>
      </c>
      <c r="G15" s="6">
        <f t="shared" si="4"/>
        <v>0.92391304347826086</v>
      </c>
    </row>
    <row r="16" spans="1:11">
      <c r="A16" s="1">
        <v>11</v>
      </c>
      <c r="B16" s="1">
        <v>3</v>
      </c>
      <c r="C16" s="1">
        <v>3</v>
      </c>
      <c r="D16" s="1">
        <v>100</v>
      </c>
      <c r="E16">
        <f t="shared" si="2"/>
        <v>104.25</v>
      </c>
      <c r="F16" s="6">
        <f t="shared" si="3"/>
        <v>99.375</v>
      </c>
      <c r="G16" s="6">
        <f t="shared" si="4"/>
        <v>1.0062893081761006</v>
      </c>
    </row>
    <row r="17" spans="1:8">
      <c r="A17" s="1">
        <v>12</v>
      </c>
      <c r="B17" s="1">
        <v>3</v>
      </c>
      <c r="C17" s="1">
        <v>4</v>
      </c>
      <c r="D17" s="1">
        <v>125</v>
      </c>
      <c r="E17">
        <f t="shared" si="2"/>
        <v>114.25</v>
      </c>
      <c r="F17" s="6">
        <f t="shared" si="3"/>
        <v>109.25</v>
      </c>
      <c r="G17" s="6">
        <f t="shared" si="4"/>
        <v>1.1441647597254005</v>
      </c>
    </row>
    <row r="18" spans="1:8">
      <c r="A18" s="1">
        <v>13</v>
      </c>
      <c r="B18" s="1">
        <v>4</v>
      </c>
      <c r="C18" s="1">
        <v>1</v>
      </c>
      <c r="D18" s="1">
        <v>107</v>
      </c>
      <c r="E18">
        <f t="shared" si="2"/>
        <v>123.75</v>
      </c>
      <c r="F18" s="6">
        <f t="shared" si="3"/>
        <v>119</v>
      </c>
      <c r="G18" s="6">
        <f t="shared" si="4"/>
        <v>0.89915966386554624</v>
      </c>
    </row>
    <row r="19" spans="1:8">
      <c r="A19" s="1">
        <v>14</v>
      </c>
      <c r="B19" s="1">
        <v>4</v>
      </c>
      <c r="C19" s="1">
        <v>2</v>
      </c>
      <c r="D19" s="1">
        <v>125</v>
      </c>
      <c r="E19">
        <f t="shared" si="2"/>
        <v>132.25</v>
      </c>
      <c r="F19" s="6">
        <f t="shared" si="3"/>
        <v>128</v>
      </c>
      <c r="G19" s="6">
        <f t="shared" si="4"/>
        <v>0.9765625</v>
      </c>
    </row>
    <row r="20" spans="1:8">
      <c r="A20" s="1">
        <v>15</v>
      </c>
      <c r="B20" s="1">
        <v>4</v>
      </c>
      <c r="C20" s="1">
        <v>3</v>
      </c>
      <c r="D20" s="1">
        <v>138</v>
      </c>
      <c r="E20">
        <f t="shared" si="2"/>
        <v>139.25</v>
      </c>
      <c r="F20" s="6">
        <f t="shared" si="3"/>
        <v>135.75</v>
      </c>
      <c r="G20" s="6">
        <f t="shared" si="4"/>
        <v>1.0165745856353592</v>
      </c>
    </row>
    <row r="21" spans="1:8">
      <c r="A21" s="1">
        <v>16</v>
      </c>
      <c r="B21" s="1">
        <v>4</v>
      </c>
      <c r="C21" s="1">
        <v>4</v>
      </c>
      <c r="D21" s="1">
        <v>159</v>
      </c>
      <c r="E21">
        <f t="shared" si="2"/>
        <v>146.75</v>
      </c>
      <c r="F21" s="6">
        <f t="shared" si="3"/>
        <v>143</v>
      </c>
      <c r="G21" s="6">
        <f t="shared" si="4"/>
        <v>1.1118881118881119</v>
      </c>
    </row>
    <row r="22" spans="1:8">
      <c r="A22" s="1">
        <v>17</v>
      </c>
      <c r="B22" s="1">
        <v>5</v>
      </c>
      <c r="C22" s="1">
        <v>1</v>
      </c>
      <c r="D22" s="1">
        <v>135</v>
      </c>
      <c r="E22">
        <f t="shared" si="2"/>
        <v>156</v>
      </c>
      <c r="F22" s="6">
        <f t="shared" si="3"/>
        <v>151.375</v>
      </c>
      <c r="G22" s="6">
        <f t="shared" si="4"/>
        <v>0.89182493806771268</v>
      </c>
    </row>
    <row r="23" spans="1:8">
      <c r="A23" s="1">
        <v>18</v>
      </c>
      <c r="B23" s="1">
        <v>5</v>
      </c>
      <c r="C23" s="1">
        <v>2</v>
      </c>
      <c r="D23" s="1">
        <v>155</v>
      </c>
      <c r="E23">
        <f t="shared" si="2"/>
        <v>164.25</v>
      </c>
      <c r="F23" s="6">
        <f t="shared" si="3"/>
        <v>160.125</v>
      </c>
      <c r="G23" s="6">
        <f t="shared" si="4"/>
        <v>0.96799375487900075</v>
      </c>
    </row>
    <row r="24" spans="1:8">
      <c r="A24" s="1">
        <v>19</v>
      </c>
      <c r="B24" s="1">
        <v>5</v>
      </c>
      <c r="C24" s="1">
        <v>3</v>
      </c>
      <c r="D24" s="1">
        <v>175</v>
      </c>
    </row>
    <row r="25" spans="1:8">
      <c r="A25" s="1">
        <v>20</v>
      </c>
      <c r="B25" s="1">
        <v>5</v>
      </c>
      <c r="C25" s="1">
        <v>4</v>
      </c>
      <c r="D25" s="1">
        <v>192</v>
      </c>
      <c r="H25" t="s">
        <v>13</v>
      </c>
    </row>
    <row r="26" spans="1:8">
      <c r="A26" s="5">
        <v>21</v>
      </c>
      <c r="B26" s="5">
        <v>6</v>
      </c>
      <c r="C26" s="5">
        <v>1</v>
      </c>
      <c r="D26" s="5"/>
      <c r="F26" s="6">
        <f>$I$2+$I$3*A26</f>
        <v>175.88069852941175</v>
      </c>
      <c r="H26" s="6">
        <f>F26*K6</f>
        <v>143.12059414905116</v>
      </c>
    </row>
    <row r="27" spans="1:8">
      <c r="A27" s="5">
        <v>22</v>
      </c>
      <c r="B27" s="5">
        <v>6</v>
      </c>
      <c r="C27" s="5">
        <v>2</v>
      </c>
      <c r="D27" s="5"/>
      <c r="F27" s="6">
        <f t="shared" ref="F27:F29" si="5">$I$2+$I$3*A27</f>
        <v>182.81948529411767</v>
      </c>
      <c r="H27" s="6">
        <f t="shared" ref="H27:H29" si="6">F27*K7</f>
        <v>170.72041837125283</v>
      </c>
    </row>
    <row r="28" spans="1:8">
      <c r="A28" s="5">
        <v>23</v>
      </c>
      <c r="B28" s="5">
        <v>6</v>
      </c>
      <c r="C28" s="5">
        <v>3</v>
      </c>
      <c r="D28" s="5"/>
      <c r="F28" s="6">
        <f t="shared" si="5"/>
        <v>189.75827205882354</v>
      </c>
      <c r="H28" s="6">
        <f t="shared" si="6"/>
        <v>201.35087616761439</v>
      </c>
    </row>
    <row r="29" spans="1:8">
      <c r="A29" s="5">
        <v>24</v>
      </c>
      <c r="B29" s="5">
        <v>6</v>
      </c>
      <c r="C29" s="5">
        <v>4</v>
      </c>
      <c r="D29" s="5"/>
      <c r="F29" s="6">
        <f t="shared" si="5"/>
        <v>196.6970588235294</v>
      </c>
      <c r="H29" s="6">
        <f t="shared" si="6"/>
        <v>234.33547119684096</v>
      </c>
    </row>
  </sheetData>
  <mergeCells count="1">
    <mergeCell ref="A1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B03E-7919-4397-A095-6BD2F13A543A}">
  <dimension ref="A1:L29"/>
  <sheetViews>
    <sheetView topLeftCell="A3" workbookViewId="0">
      <selection activeCell="K15" sqref="K15"/>
    </sheetView>
  </sheetViews>
  <sheetFormatPr defaultRowHeight="13.8"/>
  <cols>
    <col min="1" max="1" width="11.296875" bestFit="1" customWidth="1"/>
    <col min="2" max="2" width="5" bestFit="1" customWidth="1"/>
    <col min="3" max="3" width="7.5" bestFit="1" customWidth="1"/>
    <col min="4" max="4" width="5.69921875" bestFit="1" customWidth="1"/>
    <col min="5" max="5" width="15.296875" bestFit="1" customWidth="1"/>
    <col min="6" max="6" width="24.09765625" bestFit="1" customWidth="1"/>
    <col min="7" max="7" width="15.796875" bestFit="1" customWidth="1"/>
    <col min="8" max="8" width="11.8984375" bestFit="1" customWidth="1"/>
    <col min="11" max="11" width="21.8984375" bestFit="1" customWidth="1"/>
    <col min="12" max="12" width="14.59765625" bestFit="1" customWidth="1"/>
  </cols>
  <sheetData>
    <row r="1" spans="1:12" ht="13.8" customHeight="1">
      <c r="A1" s="17" t="s">
        <v>3</v>
      </c>
      <c r="B1" s="17"/>
      <c r="C1" s="17"/>
      <c r="D1" s="17"/>
      <c r="E1" s="17"/>
      <c r="F1" s="17"/>
    </row>
    <row r="2" spans="1:12">
      <c r="A2" s="17"/>
      <c r="B2" s="17"/>
      <c r="C2" s="17"/>
      <c r="D2" s="17"/>
      <c r="E2" s="17"/>
      <c r="F2" s="17"/>
    </row>
    <row r="3" spans="1:12">
      <c r="A3" s="17"/>
      <c r="B3" s="17"/>
      <c r="C3" s="17"/>
      <c r="D3" s="17"/>
      <c r="E3" s="17"/>
      <c r="F3" s="17"/>
    </row>
    <row r="5" spans="1:12">
      <c r="A5" s="2" t="s">
        <v>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15</v>
      </c>
      <c r="G5" s="2" t="s">
        <v>5</v>
      </c>
      <c r="I5" s="2" t="s">
        <v>16</v>
      </c>
      <c r="J5" s="6">
        <f>INTERCEPT(F8:F23,A8:A23)</f>
        <v>30.16617647058824</v>
      </c>
    </row>
    <row r="6" spans="1:12">
      <c r="A6" s="1">
        <v>1</v>
      </c>
      <c r="B6" s="1">
        <v>1</v>
      </c>
      <c r="C6" s="1">
        <v>1</v>
      </c>
      <c r="D6" s="1">
        <v>24</v>
      </c>
      <c r="J6" s="6">
        <f>SLOPE(F8:F23,A8:A23)</f>
        <v>6.9387867647058821</v>
      </c>
    </row>
    <row r="7" spans="1:12">
      <c r="A7" s="3">
        <v>2</v>
      </c>
      <c r="B7" s="1">
        <v>1</v>
      </c>
      <c r="C7" s="1">
        <v>2</v>
      </c>
      <c r="D7" s="1">
        <v>44</v>
      </c>
      <c r="E7" s="15">
        <f>AVERAGE(D6:D9)</f>
        <v>52</v>
      </c>
    </row>
    <row r="8" spans="1:12">
      <c r="A8" s="1">
        <v>3</v>
      </c>
      <c r="B8" s="1">
        <v>1</v>
      </c>
      <c r="C8" s="1">
        <v>3</v>
      </c>
      <c r="D8" s="1">
        <v>61</v>
      </c>
      <c r="E8" s="15">
        <f t="shared" ref="E8:E23" si="0">AVERAGE(D7:D10)</f>
        <v>58</v>
      </c>
      <c r="F8" s="15">
        <f>AVERAGE(E7:E8)</f>
        <v>55</v>
      </c>
      <c r="G8" s="6">
        <f>D8/F8</f>
        <v>1.1090909090909091</v>
      </c>
    </row>
    <row r="9" spans="1:12">
      <c r="A9" s="1">
        <v>4</v>
      </c>
      <c r="B9" s="1">
        <v>1</v>
      </c>
      <c r="C9" s="1">
        <v>4</v>
      </c>
      <c r="D9" s="1">
        <v>79</v>
      </c>
      <c r="E9" s="15">
        <f t="shared" si="0"/>
        <v>63.5</v>
      </c>
      <c r="F9" s="15">
        <f t="shared" ref="F9:F23" si="1">AVERAGE(E8:E9)</f>
        <v>60.75</v>
      </c>
      <c r="G9" s="6">
        <f t="shared" ref="G9:G23" si="2">D9/F9</f>
        <v>1.3004115226337449</v>
      </c>
      <c r="J9" t="s">
        <v>1</v>
      </c>
      <c r="K9" t="s">
        <v>17</v>
      </c>
      <c r="L9" t="s">
        <v>12</v>
      </c>
    </row>
    <row r="10" spans="1:12">
      <c r="A10" s="1">
        <v>5</v>
      </c>
      <c r="B10" s="1">
        <v>2</v>
      </c>
      <c r="C10" s="1">
        <v>1</v>
      </c>
      <c r="D10" s="1">
        <v>48</v>
      </c>
      <c r="E10" s="15">
        <f t="shared" si="0"/>
        <v>71</v>
      </c>
      <c r="F10" s="15">
        <f t="shared" si="1"/>
        <v>67.25</v>
      </c>
      <c r="G10" s="6">
        <f t="shared" si="2"/>
        <v>0.71375464684014867</v>
      </c>
      <c r="J10">
        <v>1</v>
      </c>
      <c r="K10" s="6">
        <f>AVERAGEIF($C$8:$C$23,J10,$G$8:$G$23)</f>
        <v>0.81854690554554421</v>
      </c>
      <c r="L10" s="6">
        <f>K10/AVERAGE($K$10:$K$13)</f>
        <v>0.81373678491001522</v>
      </c>
    </row>
    <row r="11" spans="1:12">
      <c r="A11" s="1">
        <v>6</v>
      </c>
      <c r="B11" s="1">
        <v>2</v>
      </c>
      <c r="C11" s="1">
        <v>2</v>
      </c>
      <c r="D11" s="1">
        <v>66</v>
      </c>
      <c r="E11" s="15">
        <f t="shared" si="0"/>
        <v>77.5</v>
      </c>
      <c r="F11" s="15">
        <f t="shared" si="1"/>
        <v>74.25</v>
      </c>
      <c r="G11" s="6">
        <f t="shared" si="2"/>
        <v>0.88888888888888884</v>
      </c>
      <c r="J11">
        <v>2</v>
      </c>
      <c r="K11" s="6">
        <f t="shared" ref="K11:K13" si="3">AVERAGEIF($C$8:$C$23,J11,$G$8:$G$23)</f>
        <v>0.93933954681153753</v>
      </c>
      <c r="L11" s="6">
        <f t="shared" ref="L11:L13" si="4">K11/AVERAGE($K$10:$K$13)</f>
        <v>0.93381959858709795</v>
      </c>
    </row>
    <row r="12" spans="1:12">
      <c r="A12" s="1">
        <v>7</v>
      </c>
      <c r="B12" s="1">
        <v>2</v>
      </c>
      <c r="C12" s="1">
        <v>3</v>
      </c>
      <c r="D12" s="1">
        <v>91</v>
      </c>
      <c r="E12" s="15">
        <f t="shared" si="0"/>
        <v>82.5</v>
      </c>
      <c r="F12" s="15">
        <f t="shared" si="1"/>
        <v>80</v>
      </c>
      <c r="G12" s="6">
        <f t="shared" si="2"/>
        <v>1.1375</v>
      </c>
      <c r="J12">
        <v>3</v>
      </c>
      <c r="K12" s="6">
        <f t="shared" si="3"/>
        <v>1.0673637007255923</v>
      </c>
      <c r="L12" s="6">
        <f t="shared" si="4"/>
        <v>1.0610914295488381</v>
      </c>
    </row>
    <row r="13" spans="1:12">
      <c r="A13" s="1">
        <v>8</v>
      </c>
      <c r="B13" s="1">
        <v>2</v>
      </c>
      <c r="C13" s="1">
        <v>4</v>
      </c>
      <c r="D13" s="1">
        <v>105</v>
      </c>
      <c r="E13" s="15">
        <f t="shared" si="0"/>
        <v>87.25</v>
      </c>
      <c r="F13" s="15">
        <f t="shared" si="1"/>
        <v>84.875</v>
      </c>
      <c r="G13" s="6">
        <f t="shared" si="2"/>
        <v>1.2371134020618557</v>
      </c>
      <c r="J13">
        <v>4</v>
      </c>
      <c r="K13" s="6">
        <f t="shared" si="3"/>
        <v>1.1983944490772782</v>
      </c>
      <c r="L13" s="6">
        <f t="shared" si="4"/>
        <v>1.1913521869540489</v>
      </c>
    </row>
    <row r="14" spans="1:12">
      <c r="A14" s="1">
        <v>9</v>
      </c>
      <c r="B14" s="1">
        <v>3</v>
      </c>
      <c r="C14" s="1">
        <v>1</v>
      </c>
      <c r="D14" s="1">
        <v>68</v>
      </c>
      <c r="E14" s="15">
        <f t="shared" si="0"/>
        <v>89.5</v>
      </c>
      <c r="F14" s="15">
        <f t="shared" si="1"/>
        <v>88.375</v>
      </c>
      <c r="G14" s="6">
        <f t="shared" si="2"/>
        <v>0.76944837340876948</v>
      </c>
      <c r="K14" s="6">
        <f>AVERAGE(K10:K13)</f>
        <v>1.005911150539988</v>
      </c>
      <c r="L14" s="14">
        <f>AVERAGE(L10:L13)</f>
        <v>1</v>
      </c>
    </row>
    <row r="15" spans="1:12">
      <c r="A15" s="1">
        <v>10</v>
      </c>
      <c r="B15" s="1">
        <v>3</v>
      </c>
      <c r="C15" s="1">
        <v>2</v>
      </c>
      <c r="D15" s="1">
        <v>85</v>
      </c>
      <c r="E15" s="15">
        <f t="shared" si="0"/>
        <v>94.5</v>
      </c>
      <c r="F15" s="15">
        <f t="shared" si="1"/>
        <v>92</v>
      </c>
      <c r="G15" s="6">
        <f t="shared" si="2"/>
        <v>0.92391304347826086</v>
      </c>
    </row>
    <row r="16" spans="1:12">
      <c r="A16" s="1">
        <v>11</v>
      </c>
      <c r="B16" s="1">
        <v>3</v>
      </c>
      <c r="C16" s="1">
        <v>3</v>
      </c>
      <c r="D16" s="1">
        <v>100</v>
      </c>
      <c r="E16" s="15">
        <f t="shared" si="0"/>
        <v>104.25</v>
      </c>
      <c r="F16" s="15">
        <f t="shared" si="1"/>
        <v>99.375</v>
      </c>
      <c r="G16" s="6">
        <f t="shared" si="2"/>
        <v>1.0062893081761006</v>
      </c>
    </row>
    <row r="17" spans="1:8">
      <c r="A17" s="1">
        <v>12</v>
      </c>
      <c r="B17" s="1">
        <v>3</v>
      </c>
      <c r="C17" s="1">
        <v>4</v>
      </c>
      <c r="D17" s="1">
        <v>125</v>
      </c>
      <c r="E17" s="15">
        <f t="shared" si="0"/>
        <v>114.25</v>
      </c>
      <c r="F17" s="15">
        <f t="shared" si="1"/>
        <v>109.25</v>
      </c>
      <c r="G17" s="6">
        <f t="shared" si="2"/>
        <v>1.1441647597254005</v>
      </c>
    </row>
    <row r="18" spans="1:8">
      <c r="A18" s="1">
        <v>13</v>
      </c>
      <c r="B18" s="1">
        <v>4</v>
      </c>
      <c r="C18" s="1">
        <v>1</v>
      </c>
      <c r="D18" s="1">
        <v>107</v>
      </c>
      <c r="E18" s="15">
        <f t="shared" si="0"/>
        <v>123.75</v>
      </c>
      <c r="F18" s="15">
        <f t="shared" si="1"/>
        <v>119</v>
      </c>
      <c r="G18" s="6">
        <f t="shared" si="2"/>
        <v>0.89915966386554624</v>
      </c>
    </row>
    <row r="19" spans="1:8">
      <c r="A19" s="1">
        <v>14</v>
      </c>
      <c r="B19" s="1">
        <v>4</v>
      </c>
      <c r="C19" s="1">
        <v>2</v>
      </c>
      <c r="D19" s="1">
        <v>125</v>
      </c>
      <c r="E19" s="15">
        <f t="shared" si="0"/>
        <v>132.25</v>
      </c>
      <c r="F19" s="15">
        <f t="shared" si="1"/>
        <v>128</v>
      </c>
      <c r="G19" s="6">
        <f t="shared" si="2"/>
        <v>0.9765625</v>
      </c>
    </row>
    <row r="20" spans="1:8">
      <c r="A20" s="1">
        <v>15</v>
      </c>
      <c r="B20" s="1">
        <v>4</v>
      </c>
      <c r="C20" s="1">
        <v>3</v>
      </c>
      <c r="D20" s="1">
        <v>138</v>
      </c>
      <c r="E20" s="15">
        <f t="shared" si="0"/>
        <v>139.25</v>
      </c>
      <c r="F20" s="15">
        <f t="shared" si="1"/>
        <v>135.75</v>
      </c>
      <c r="G20" s="6">
        <f t="shared" si="2"/>
        <v>1.0165745856353592</v>
      </c>
    </row>
    <row r="21" spans="1:8">
      <c r="A21" s="1">
        <v>16</v>
      </c>
      <c r="B21" s="1">
        <v>4</v>
      </c>
      <c r="C21" s="1">
        <v>4</v>
      </c>
      <c r="D21" s="1">
        <v>159</v>
      </c>
      <c r="E21" s="15">
        <f t="shared" si="0"/>
        <v>146.75</v>
      </c>
      <c r="F21" s="15">
        <f t="shared" si="1"/>
        <v>143</v>
      </c>
      <c r="G21" s="6">
        <f t="shared" si="2"/>
        <v>1.1118881118881119</v>
      </c>
    </row>
    <row r="22" spans="1:8">
      <c r="A22" s="1">
        <v>17</v>
      </c>
      <c r="B22" s="1">
        <v>5</v>
      </c>
      <c r="C22" s="1">
        <v>1</v>
      </c>
      <c r="D22" s="1">
        <v>135</v>
      </c>
      <c r="E22" s="15">
        <f t="shared" si="0"/>
        <v>156</v>
      </c>
      <c r="F22" s="15">
        <f t="shared" si="1"/>
        <v>151.375</v>
      </c>
      <c r="G22" s="6">
        <f t="shared" si="2"/>
        <v>0.89182493806771268</v>
      </c>
    </row>
    <row r="23" spans="1:8">
      <c r="A23" s="1">
        <v>18</v>
      </c>
      <c r="B23" s="1">
        <v>5</v>
      </c>
      <c r="C23" s="1">
        <v>2</v>
      </c>
      <c r="D23" s="1">
        <v>155</v>
      </c>
      <c r="E23" s="15">
        <f t="shared" si="0"/>
        <v>164.25</v>
      </c>
      <c r="F23" s="15">
        <f t="shared" si="1"/>
        <v>160.125</v>
      </c>
      <c r="G23" s="6">
        <f t="shared" si="2"/>
        <v>0.96799375487900075</v>
      </c>
    </row>
    <row r="24" spans="1:8">
      <c r="A24" s="1">
        <v>19</v>
      </c>
      <c r="B24" s="1">
        <v>5</v>
      </c>
      <c r="C24" s="1">
        <v>3</v>
      </c>
      <c r="D24" s="1">
        <v>175</v>
      </c>
    </row>
    <row r="25" spans="1:8">
      <c r="A25" s="1">
        <v>20</v>
      </c>
      <c r="B25" s="1">
        <v>5</v>
      </c>
      <c r="C25" s="1">
        <v>4</v>
      </c>
      <c r="D25" s="1">
        <v>192</v>
      </c>
      <c r="H25" t="s">
        <v>13</v>
      </c>
    </row>
    <row r="26" spans="1:8">
      <c r="A26" s="5">
        <v>21</v>
      </c>
      <c r="B26" s="5">
        <v>6</v>
      </c>
      <c r="C26" s="5">
        <v>1</v>
      </c>
      <c r="D26" s="5"/>
      <c r="F26" s="6">
        <f>$J$5+$J$6*A26</f>
        <v>175.88069852941175</v>
      </c>
      <c r="H26" s="6">
        <f>F26*L10</f>
        <v>143.12059414905116</v>
      </c>
    </row>
    <row r="27" spans="1:8">
      <c r="A27" s="5">
        <v>22</v>
      </c>
      <c r="B27" s="5">
        <v>6</v>
      </c>
      <c r="C27" s="5">
        <v>2</v>
      </c>
      <c r="D27" s="5"/>
      <c r="F27" s="6">
        <f t="shared" ref="F27:F29" si="5">$J$5+$J$6*A27</f>
        <v>182.81948529411767</v>
      </c>
      <c r="H27" s="6">
        <f t="shared" ref="H27:H29" si="6">F27*L11</f>
        <v>170.72041837125283</v>
      </c>
    </row>
    <row r="28" spans="1:8">
      <c r="A28" s="5">
        <v>23</v>
      </c>
      <c r="B28" s="5">
        <v>6</v>
      </c>
      <c r="C28" s="5">
        <v>3</v>
      </c>
      <c r="D28" s="5"/>
      <c r="F28" s="6">
        <f t="shared" si="5"/>
        <v>189.75827205882354</v>
      </c>
      <c r="H28" s="6">
        <f t="shared" si="6"/>
        <v>201.35087616761439</v>
      </c>
    </row>
    <row r="29" spans="1:8">
      <c r="A29" s="5">
        <v>24</v>
      </c>
      <c r="B29" s="5">
        <v>6</v>
      </c>
      <c r="C29" s="5">
        <v>4</v>
      </c>
      <c r="D29" s="5"/>
      <c r="F29" s="6">
        <f t="shared" si="5"/>
        <v>196.6970588235294</v>
      </c>
      <c r="H29" s="6">
        <f t="shared" si="6"/>
        <v>234.33547119684096</v>
      </c>
    </row>
  </sheetData>
  <mergeCells count="1">
    <mergeCell ref="A1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F9F7-1D5E-4C10-BEFF-9898ABD29BF2}">
  <dimension ref="A1:K29"/>
  <sheetViews>
    <sheetView tabSelected="1" workbookViewId="0">
      <selection activeCell="J25" sqref="J25"/>
    </sheetView>
  </sheetViews>
  <sheetFormatPr defaultRowHeight="13.8"/>
  <cols>
    <col min="1" max="1" width="11.296875" bestFit="1" customWidth="1"/>
    <col min="2" max="2" width="5" bestFit="1" customWidth="1"/>
    <col min="3" max="3" width="7.5" bestFit="1" customWidth="1"/>
    <col min="4" max="4" width="5.69921875" bestFit="1" customWidth="1"/>
    <col min="5" max="5" width="15.296875" bestFit="1" customWidth="1"/>
    <col min="6" max="6" width="24.09765625" bestFit="1" customWidth="1"/>
    <col min="7" max="7" width="15.796875" bestFit="1" customWidth="1"/>
    <col min="8" max="8" width="12.69921875" bestFit="1" customWidth="1"/>
    <col min="10" max="10" width="23.8984375" bestFit="1" customWidth="1"/>
    <col min="11" max="11" width="16.5" bestFit="1" customWidth="1"/>
  </cols>
  <sheetData>
    <row r="1" spans="1:11">
      <c r="A1" s="17" t="s">
        <v>3</v>
      </c>
      <c r="B1" s="17"/>
      <c r="C1" s="17"/>
      <c r="D1" s="17"/>
      <c r="E1" s="17"/>
      <c r="F1" s="17"/>
    </row>
    <row r="2" spans="1:11">
      <c r="A2" s="17"/>
      <c r="B2" s="17"/>
      <c r="C2" s="17"/>
      <c r="D2" s="17"/>
      <c r="E2" s="17"/>
      <c r="F2" s="17"/>
      <c r="H2" t="s">
        <v>9</v>
      </c>
      <c r="I2" s="6">
        <f>INTERCEPT(F8:F23,A8:A23)</f>
        <v>30.16617647058824</v>
      </c>
    </row>
    <row r="3" spans="1:11">
      <c r="A3" s="17"/>
      <c r="B3" s="17"/>
      <c r="C3" s="17"/>
      <c r="D3" s="17"/>
      <c r="E3" s="17"/>
      <c r="F3" s="17"/>
      <c r="G3" t="s">
        <v>14</v>
      </c>
      <c r="H3" t="s">
        <v>10</v>
      </c>
      <c r="I3" s="6">
        <f>SLOPE(F8:F23,A8:A23)</f>
        <v>6.9387867647058821</v>
      </c>
    </row>
    <row r="5" spans="1:11">
      <c r="A5" s="2" t="s">
        <v>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15</v>
      </c>
      <c r="G5" s="2" t="s">
        <v>5</v>
      </c>
      <c r="I5" s="2" t="s">
        <v>1</v>
      </c>
      <c r="J5" s="2" t="s">
        <v>17</v>
      </c>
      <c r="K5" s="2" t="s">
        <v>12</v>
      </c>
    </row>
    <row r="6" spans="1:11">
      <c r="A6" s="1">
        <v>1</v>
      </c>
      <c r="B6" s="1">
        <v>1</v>
      </c>
      <c r="C6" s="1">
        <v>1</v>
      </c>
      <c r="D6" s="1">
        <v>24</v>
      </c>
      <c r="I6">
        <v>1</v>
      </c>
      <c r="J6" s="6">
        <f>AVERAGEIF($C$8:$C$23,I6,$G$8:$G$23)</f>
        <v>0.81854690554554421</v>
      </c>
      <c r="K6" s="6">
        <f>J6/AVERAGE($J$6:$J$9)</f>
        <v>0.81373678491001522</v>
      </c>
    </row>
    <row r="7" spans="1:11">
      <c r="A7" s="3">
        <v>2</v>
      </c>
      <c r="B7" s="1">
        <v>1</v>
      </c>
      <c r="C7" s="1">
        <v>2</v>
      </c>
      <c r="D7" s="1">
        <v>44</v>
      </c>
      <c r="E7">
        <f>AVERAGE(D6:D9)</f>
        <v>52</v>
      </c>
      <c r="I7">
        <v>2</v>
      </c>
      <c r="J7" s="6">
        <f t="shared" ref="J7:J9" si="0">AVERAGEIF($C$8:$C$23,I7,$G$8:$G$23)</f>
        <v>0.93933954681153753</v>
      </c>
      <c r="K7" s="6">
        <f t="shared" ref="K7:K9" si="1">J7/AVERAGE($J$6:$J$9)</f>
        <v>0.93381959858709795</v>
      </c>
    </row>
    <row r="8" spans="1:11">
      <c r="A8" s="1">
        <v>3</v>
      </c>
      <c r="B8" s="1">
        <v>1</v>
      </c>
      <c r="C8" s="1">
        <v>3</v>
      </c>
      <c r="D8" s="1">
        <v>61</v>
      </c>
      <c r="E8">
        <f t="shared" ref="E8:E23" si="2">AVERAGE(D7:D10)</f>
        <v>58</v>
      </c>
      <c r="F8" s="6">
        <f>AVERAGE(E7:E8)</f>
        <v>55</v>
      </c>
      <c r="G8" s="6">
        <f>D8/F8</f>
        <v>1.1090909090909091</v>
      </c>
      <c r="I8">
        <v>3</v>
      </c>
      <c r="J8" s="6">
        <f t="shared" si="0"/>
        <v>1.0673637007255923</v>
      </c>
      <c r="K8" s="6">
        <f t="shared" si="1"/>
        <v>1.0610914295488381</v>
      </c>
    </row>
    <row r="9" spans="1:11">
      <c r="A9" s="1">
        <v>4</v>
      </c>
      <c r="B9" s="1">
        <v>1</v>
      </c>
      <c r="C9" s="1">
        <v>4</v>
      </c>
      <c r="D9" s="1">
        <v>79</v>
      </c>
      <c r="E9">
        <f t="shared" si="2"/>
        <v>63.5</v>
      </c>
      <c r="F9" s="6">
        <f t="shared" ref="F9:F23" si="3">AVERAGE(E8:E9)</f>
        <v>60.75</v>
      </c>
      <c r="G9" s="6">
        <f t="shared" ref="G9:G23" si="4">D9/F9</f>
        <v>1.3004115226337449</v>
      </c>
      <c r="I9">
        <v>4</v>
      </c>
      <c r="J9" s="6">
        <f t="shared" si="0"/>
        <v>1.1983944490772782</v>
      </c>
      <c r="K9" s="6">
        <f t="shared" si="1"/>
        <v>1.1913521869540489</v>
      </c>
    </row>
    <row r="10" spans="1:11">
      <c r="A10" s="1">
        <v>5</v>
      </c>
      <c r="B10" s="1">
        <v>2</v>
      </c>
      <c r="C10" s="1">
        <v>1</v>
      </c>
      <c r="D10" s="1">
        <v>48</v>
      </c>
      <c r="E10">
        <f t="shared" si="2"/>
        <v>71</v>
      </c>
      <c r="F10" s="6">
        <f t="shared" si="3"/>
        <v>67.25</v>
      </c>
      <c r="G10" s="6">
        <f t="shared" si="4"/>
        <v>0.71375464684014867</v>
      </c>
    </row>
    <row r="11" spans="1:11">
      <c r="A11" s="1">
        <v>6</v>
      </c>
      <c r="B11" s="1">
        <v>2</v>
      </c>
      <c r="C11" s="1">
        <v>2</v>
      </c>
      <c r="D11" s="1">
        <v>66</v>
      </c>
      <c r="E11">
        <f t="shared" si="2"/>
        <v>77.5</v>
      </c>
      <c r="F11" s="6">
        <f t="shared" si="3"/>
        <v>74.25</v>
      </c>
      <c r="G11" s="6">
        <f t="shared" si="4"/>
        <v>0.88888888888888884</v>
      </c>
      <c r="K11" s="6">
        <f>AVERAGE(K6:K9)</f>
        <v>1</v>
      </c>
    </row>
    <row r="12" spans="1:11">
      <c r="A12" s="1">
        <v>7</v>
      </c>
      <c r="B12" s="1">
        <v>2</v>
      </c>
      <c r="C12" s="1">
        <v>3</v>
      </c>
      <c r="D12" s="1">
        <v>91</v>
      </c>
      <c r="E12">
        <f t="shared" si="2"/>
        <v>82.5</v>
      </c>
      <c r="F12" s="6">
        <f t="shared" si="3"/>
        <v>80</v>
      </c>
      <c r="G12" s="6">
        <f t="shared" si="4"/>
        <v>1.1375</v>
      </c>
    </row>
    <row r="13" spans="1:11">
      <c r="A13" s="1">
        <v>8</v>
      </c>
      <c r="B13" s="1">
        <v>2</v>
      </c>
      <c r="C13" s="1">
        <v>4</v>
      </c>
      <c r="D13" s="1">
        <v>105</v>
      </c>
      <c r="E13">
        <f t="shared" si="2"/>
        <v>87.25</v>
      </c>
      <c r="F13" s="6">
        <f t="shared" si="3"/>
        <v>84.875</v>
      </c>
      <c r="G13" s="6">
        <f t="shared" si="4"/>
        <v>1.2371134020618557</v>
      </c>
    </row>
    <row r="14" spans="1:11">
      <c r="A14" s="1">
        <v>9</v>
      </c>
      <c r="B14" s="1">
        <v>3</v>
      </c>
      <c r="C14" s="1">
        <v>1</v>
      </c>
      <c r="D14" s="1">
        <v>68</v>
      </c>
      <c r="E14">
        <f t="shared" si="2"/>
        <v>89.5</v>
      </c>
      <c r="F14" s="6">
        <f t="shared" si="3"/>
        <v>88.375</v>
      </c>
      <c r="G14" s="6">
        <f t="shared" si="4"/>
        <v>0.76944837340876948</v>
      </c>
    </row>
    <row r="15" spans="1:11">
      <c r="A15" s="1">
        <v>10</v>
      </c>
      <c r="B15" s="1">
        <v>3</v>
      </c>
      <c r="C15" s="1">
        <v>2</v>
      </c>
      <c r="D15" s="1">
        <v>85</v>
      </c>
      <c r="E15">
        <f t="shared" si="2"/>
        <v>94.5</v>
      </c>
      <c r="F15" s="6">
        <f t="shared" si="3"/>
        <v>92</v>
      </c>
      <c r="G15" s="6">
        <f t="shared" si="4"/>
        <v>0.92391304347826086</v>
      </c>
    </row>
    <row r="16" spans="1:11">
      <c r="A16" s="1">
        <v>11</v>
      </c>
      <c r="B16" s="1">
        <v>3</v>
      </c>
      <c r="C16" s="1">
        <v>3</v>
      </c>
      <c r="D16" s="1">
        <v>100</v>
      </c>
      <c r="E16">
        <f t="shared" si="2"/>
        <v>104.25</v>
      </c>
      <c r="F16" s="6">
        <f t="shared" si="3"/>
        <v>99.375</v>
      </c>
      <c r="G16" s="6">
        <f t="shared" si="4"/>
        <v>1.0062893081761006</v>
      </c>
    </row>
    <row r="17" spans="1:8">
      <c r="A17" s="1">
        <v>12</v>
      </c>
      <c r="B17" s="1">
        <v>3</v>
      </c>
      <c r="C17" s="1">
        <v>4</v>
      </c>
      <c r="D17" s="1">
        <v>125</v>
      </c>
      <c r="E17">
        <f t="shared" si="2"/>
        <v>114.25</v>
      </c>
      <c r="F17" s="6">
        <f t="shared" si="3"/>
        <v>109.25</v>
      </c>
      <c r="G17" s="6">
        <f t="shared" si="4"/>
        <v>1.1441647597254005</v>
      </c>
    </row>
    <row r="18" spans="1:8">
      <c r="A18" s="1">
        <v>13</v>
      </c>
      <c r="B18" s="1">
        <v>4</v>
      </c>
      <c r="C18" s="1">
        <v>1</v>
      </c>
      <c r="D18" s="1">
        <v>107</v>
      </c>
      <c r="E18">
        <f t="shared" si="2"/>
        <v>123.75</v>
      </c>
      <c r="F18" s="6">
        <f t="shared" si="3"/>
        <v>119</v>
      </c>
      <c r="G18" s="6">
        <f t="shared" si="4"/>
        <v>0.89915966386554624</v>
      </c>
    </row>
    <row r="19" spans="1:8">
      <c r="A19" s="1">
        <v>14</v>
      </c>
      <c r="B19" s="1">
        <v>4</v>
      </c>
      <c r="C19" s="1">
        <v>2</v>
      </c>
      <c r="D19" s="1">
        <v>125</v>
      </c>
      <c r="E19">
        <f t="shared" si="2"/>
        <v>132.25</v>
      </c>
      <c r="F19" s="6">
        <f t="shared" si="3"/>
        <v>128</v>
      </c>
      <c r="G19" s="6">
        <f t="shared" si="4"/>
        <v>0.9765625</v>
      </c>
    </row>
    <row r="20" spans="1:8">
      <c r="A20" s="1">
        <v>15</v>
      </c>
      <c r="B20" s="1">
        <v>4</v>
      </c>
      <c r="C20" s="1">
        <v>3</v>
      </c>
      <c r="D20" s="1">
        <v>138</v>
      </c>
      <c r="E20">
        <f t="shared" si="2"/>
        <v>139.25</v>
      </c>
      <c r="F20" s="6">
        <f t="shared" si="3"/>
        <v>135.75</v>
      </c>
      <c r="G20" s="6">
        <f t="shared" si="4"/>
        <v>1.0165745856353592</v>
      </c>
    </row>
    <row r="21" spans="1:8">
      <c r="A21" s="1">
        <v>16</v>
      </c>
      <c r="B21" s="1">
        <v>4</v>
      </c>
      <c r="C21" s="1">
        <v>4</v>
      </c>
      <c r="D21" s="1">
        <v>159</v>
      </c>
      <c r="E21">
        <f t="shared" si="2"/>
        <v>146.75</v>
      </c>
      <c r="F21" s="6">
        <f t="shared" si="3"/>
        <v>143</v>
      </c>
      <c r="G21" s="6">
        <f t="shared" si="4"/>
        <v>1.1118881118881119</v>
      </c>
    </row>
    <row r="22" spans="1:8">
      <c r="A22" s="1">
        <v>17</v>
      </c>
      <c r="B22" s="1">
        <v>5</v>
      </c>
      <c r="C22" s="1">
        <v>1</v>
      </c>
      <c r="D22" s="1">
        <v>135</v>
      </c>
      <c r="E22">
        <f t="shared" si="2"/>
        <v>156</v>
      </c>
      <c r="F22" s="6">
        <f t="shared" si="3"/>
        <v>151.375</v>
      </c>
      <c r="G22" s="6">
        <f t="shared" si="4"/>
        <v>0.89182493806771268</v>
      </c>
    </row>
    <row r="23" spans="1:8">
      <c r="A23" s="1">
        <v>18</v>
      </c>
      <c r="B23" s="1">
        <v>5</v>
      </c>
      <c r="C23" s="1">
        <v>2</v>
      </c>
      <c r="D23" s="1">
        <v>155</v>
      </c>
      <c r="E23">
        <f t="shared" si="2"/>
        <v>164.25</v>
      </c>
      <c r="F23" s="6">
        <f t="shared" si="3"/>
        <v>160.125</v>
      </c>
      <c r="G23" s="6">
        <f t="shared" si="4"/>
        <v>0.96799375487900075</v>
      </c>
    </row>
    <row r="24" spans="1:8">
      <c r="A24" s="1">
        <v>19</v>
      </c>
      <c r="B24" s="1">
        <v>5</v>
      </c>
      <c r="C24" s="1">
        <v>3</v>
      </c>
      <c r="D24" s="1">
        <v>175</v>
      </c>
    </row>
    <row r="25" spans="1:8">
      <c r="A25" s="1">
        <v>20</v>
      </c>
      <c r="B25" s="1">
        <v>5</v>
      </c>
      <c r="C25" s="1">
        <v>4</v>
      </c>
      <c r="D25" s="1">
        <v>192</v>
      </c>
      <c r="H25" s="16" t="s">
        <v>13</v>
      </c>
    </row>
    <row r="26" spans="1:8">
      <c r="A26" s="5">
        <v>21</v>
      </c>
      <c r="B26" s="5">
        <v>6</v>
      </c>
      <c r="C26" s="5">
        <v>1</v>
      </c>
      <c r="D26" s="5"/>
      <c r="F26" s="6">
        <f>$I$2+$I$3*A26</f>
        <v>175.88069852941175</v>
      </c>
      <c r="H26" s="18">
        <f>F26*K6</f>
        <v>143.12059414905116</v>
      </c>
    </row>
    <row r="27" spans="1:8">
      <c r="A27" s="5">
        <v>22</v>
      </c>
      <c r="B27" s="5">
        <v>6</v>
      </c>
      <c r="C27" s="5">
        <v>2</v>
      </c>
      <c r="D27" s="5"/>
      <c r="F27" s="6">
        <f t="shared" ref="F27:F29" si="5">$I$2+$I$3*A27</f>
        <v>182.81948529411767</v>
      </c>
      <c r="H27" s="18">
        <f t="shared" ref="H27:H29" si="6">F27*K7</f>
        <v>170.72041837125283</v>
      </c>
    </row>
    <row r="28" spans="1:8">
      <c r="A28" s="5">
        <v>23</v>
      </c>
      <c r="B28" s="5">
        <v>6</v>
      </c>
      <c r="C28" s="5">
        <v>3</v>
      </c>
      <c r="D28" s="5"/>
      <c r="F28" s="6">
        <f t="shared" si="5"/>
        <v>189.75827205882354</v>
      </c>
      <c r="H28" s="18">
        <f t="shared" si="6"/>
        <v>201.35087616761439</v>
      </c>
    </row>
    <row r="29" spans="1:8">
      <c r="A29" s="5">
        <v>24</v>
      </c>
      <c r="B29" s="5">
        <v>6</v>
      </c>
      <c r="C29" s="5">
        <v>4</v>
      </c>
      <c r="D29" s="5"/>
      <c r="F29" s="6">
        <f t="shared" si="5"/>
        <v>196.6970588235294</v>
      </c>
      <c r="H29" s="18">
        <f t="shared" si="6"/>
        <v>234.33547119684096</v>
      </c>
    </row>
  </sheetData>
  <mergeCells count="1">
    <mergeCell ref="A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Practice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Undale</dc:creator>
  <cp:lastModifiedBy>Sujal Mehta</cp:lastModifiedBy>
  <dcterms:created xsi:type="dcterms:W3CDTF">2024-04-30T07:05:36Z</dcterms:created>
  <dcterms:modified xsi:type="dcterms:W3CDTF">2024-06-18T06:48:55Z</dcterms:modified>
</cp:coreProperties>
</file>