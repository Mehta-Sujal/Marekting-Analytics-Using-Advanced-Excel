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Marketing Analytics\"/>
    </mc:Choice>
  </mc:AlternateContent>
  <xr:revisionPtr revIDLastSave="0" documentId="13_ncr:1_{9A8B02C1-F2D4-4B86-B6AC-8FA6F7A3471F}" xr6:coauthVersionLast="36" xr6:coauthVersionMax="47" xr10:uidLastSave="{00000000-0000-0000-0000-000000000000}"/>
  <bookViews>
    <workbookView xWindow="0" yWindow="0" windowWidth="23040" windowHeight="8940" activeTab="3" xr2:uid="{C6C8C37B-494C-4A6E-B60D-91889D72B309}"/>
  </bookViews>
  <sheets>
    <sheet name="Sheet3" sheetId="7" r:id="rId1"/>
    <sheet name="Data" sheetId="1" r:id="rId2"/>
    <sheet name="Regression1" sheetId="2" r:id="rId3"/>
    <sheet name="Eq^n" sheetId="3" r:id="rId4"/>
    <sheet name="Sheet2" sheetId="5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Pal_Workbook_GUID" hidden="1">"5SHRA32K7GY1Q8VDANMT2UZ4"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20000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Data!$J$2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5" l="1"/>
  <c r="M24" i="1"/>
  <c r="L24" i="1"/>
  <c r="K24" i="1"/>
  <c r="J24" i="1"/>
  <c r="B10" i="3" l="1"/>
  <c r="J3" i="1" l="1"/>
  <c r="J23" i="1" l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<sst xmlns="http://schemas.openxmlformats.org/spreadsheetml/2006/main" count="131" uniqueCount="78">
  <si>
    <t xml:space="preserve">‘DataCorp’ a computer sales company, sets sales quotas (in value) for all its sales people based on their territory. To set fair quotas, ‘DataCorp’ needs a way to accurately forecast computer sales in each person’s territory. You are required to help the company to find a formula to set fair sales quotas from given data using multiple regression. </t>
  </si>
  <si>
    <t>y</t>
  </si>
  <si>
    <t>x1</t>
  </si>
  <si>
    <t>x2</t>
  </si>
  <si>
    <t>x3</t>
  </si>
  <si>
    <t xml:space="preserve">Country </t>
  </si>
  <si>
    <t>Pop (millions)</t>
  </si>
  <si>
    <t>Computer Sales (millions)</t>
  </si>
  <si>
    <t>Sales/Capita</t>
  </si>
  <si>
    <t>GNP per head</t>
  </si>
  <si>
    <t>Unemployment rate</t>
  </si>
  <si>
    <t>%age spend on education</t>
  </si>
  <si>
    <t>Austria</t>
  </si>
  <si>
    <t>Belgium</t>
  </si>
  <si>
    <t>Bulgaria</t>
  </si>
  <si>
    <t>Czech Rep.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</si>
  <si>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</si>
  <si>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</si>
  <si>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</si>
  <si>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</si>
  <si>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</si>
  <si>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</si>
  <si>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</si>
  <si>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</si>
  <si>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Netherlands</t>
  </si>
  <si>
    <t>Poland</t>
  </si>
  <si>
    <t>Portugal</t>
  </si>
  <si>
    <t>Romania</t>
  </si>
  <si>
    <t>Spain</t>
  </si>
  <si>
    <t>Switzerland</t>
  </si>
  <si>
    <t>Sweden</t>
  </si>
  <si>
    <t>Turkey</t>
  </si>
  <si>
    <t>UK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</si>
  <si>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</si>
  <si>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</si>
  <si>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</si>
  <si>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</si>
  <si>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</si>
  <si>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</si>
  <si>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</si>
  <si>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</si>
  <si>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</si>
  <si>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</si>
  <si>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</si>
  <si>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</si>
  <si>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</si>
  <si>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</si>
  <si>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</si>
  <si>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</si>
  <si>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t Stat</t>
  </si>
  <si>
    <t>P-value</t>
  </si>
  <si>
    <t>Lower 95%</t>
  </si>
  <si>
    <t>Upper 95%</t>
  </si>
  <si>
    <t>Lower 95.0%</t>
  </si>
  <si>
    <t>Upper 95.0%</t>
  </si>
  <si>
    <t>Coefficients (b)</t>
  </si>
  <si>
    <t>GNP per head (x1) (b1)</t>
  </si>
  <si>
    <t>Unemployment rate (x2) (b2)</t>
  </si>
  <si>
    <t>%age spend on education (x3) (b3)</t>
  </si>
  <si>
    <t>Equation</t>
  </si>
  <si>
    <t xml:space="preserve">Y = a + b1x1 + b2x2 + b3x3 </t>
  </si>
  <si>
    <t>Y = Sales/Capita</t>
  </si>
  <si>
    <t>a = Constant = Intercept = -114.835</t>
  </si>
  <si>
    <t>b1 = Constant for x1 = Coefficient = 0.002</t>
  </si>
  <si>
    <t>b2 = Constant for x2 = Coefficient = 4.219</t>
  </si>
  <si>
    <t>b3 = Constant for x3 = Coefficient = 21.422</t>
  </si>
  <si>
    <t>Sales/Capita (y) = -114.835 + 0.002 (GNP) + 4.219 (Unemploy) + 21.422 (Edu)</t>
  </si>
  <si>
    <t>Coefficients</t>
  </si>
  <si>
    <t>Intercept (a)</t>
  </si>
  <si>
    <t>GNP per head (b1)</t>
  </si>
  <si>
    <t>Unemployment rate (b2)</t>
  </si>
  <si>
    <t>%age spend on education (b3)</t>
  </si>
  <si>
    <t>y = -114.83 + 0.002 (GNP) + 4.219 (Unemploy) + 21.422 (Edu)</t>
  </si>
  <si>
    <t>Intercept</t>
  </si>
  <si>
    <t>RESIDUAL OUTPUT</t>
  </si>
  <si>
    <t>Observation</t>
  </si>
  <si>
    <t>Predicted Sales/Capita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</si>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</sst>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4" fillId="0" borderId="0" xfId="0" applyFont="1"/>
    <xf numFmtId="2" fontId="1" fillId="0" borderId="0" xfId="0" applyNumberFormat="1" applyFont="1"/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49A8-C2B8-4C92-B352-C8AA121782D1}">
  <dimension ref="A1:I47"/>
  <sheetViews>
    <sheetView workbookViewId="0">
      <selection activeCell="G39" sqref="G39"/>
    </sheetView>
  </sheetViews>
  <sheetFormatPr defaultRowHeight="13.8"/>
  <cols>
    <col min="1" max="1" width="22" bestFit="1" customWidth="1"/>
    <col min="2" max="2" width="20.296875" bestFit="1" customWidth="1"/>
    <col min="3" max="3" width="13.3984375" bestFit="1" customWidth="1"/>
    <col min="4" max="4" width="12.5" bestFit="1" customWidth="1"/>
    <col min="5" max="5" width="11.8984375" bestFit="1" customWidth="1"/>
    <col min="6" max="6" width="13.09765625" bestFit="1" customWidth="1"/>
    <col min="7" max="7" width="11.8984375" bestFit="1" customWidth="1"/>
    <col min="8" max="8" width="12.5" bestFit="1" customWidth="1"/>
    <col min="9" max="9" width="12" bestFit="1" customWidth="1"/>
  </cols>
  <sheetData>
    <row r="1" spans="1:9">
      <c r="A1" t="s">
        <v>33</v>
      </c>
    </row>
    <row r="2" spans="1:9" ht="14.4" thickBot="1"/>
    <row r="3" spans="1:9" ht="14.4">
      <c r="A3" s="9" t="s">
        <v>34</v>
      </c>
      <c r="B3" s="9"/>
    </row>
    <row r="4" spans="1:9">
      <c r="A4" s="6" t="s">
        <v>35</v>
      </c>
      <c r="B4" s="6">
        <v>0.73110646532801471</v>
      </c>
    </row>
    <row r="5" spans="1:9">
      <c r="A5" s="6" t="s">
        <v>36</v>
      </c>
      <c r="B5" s="6">
        <v>0.53451666364442363</v>
      </c>
    </row>
    <row r="6" spans="1:9">
      <c r="A6" s="6" t="s">
        <v>37</v>
      </c>
      <c r="B6" s="6">
        <v>0.45237254546402783</v>
      </c>
    </row>
    <row r="7" spans="1:9">
      <c r="A7" s="6" t="s">
        <v>38</v>
      </c>
      <c r="B7" s="6">
        <v>58.42625703589713</v>
      </c>
    </row>
    <row r="8" spans="1:9" ht="14.4" thickBot="1">
      <c r="A8" s="7" t="s">
        <v>39</v>
      </c>
      <c r="B8" s="7">
        <v>21</v>
      </c>
    </row>
    <row r="10" spans="1:9" ht="14.4" thickBot="1">
      <c r="A10" t="s">
        <v>40</v>
      </c>
    </row>
    <row r="11" spans="1:9" ht="14.4">
      <c r="A11" s="8"/>
      <c r="B11" s="8" t="s">
        <v>44</v>
      </c>
      <c r="C11" s="8" t="s">
        <v>45</v>
      </c>
      <c r="D11" s="8" t="s">
        <v>46</v>
      </c>
      <c r="E11" s="8" t="s">
        <v>47</v>
      </c>
      <c r="F11" s="8" t="s">
        <v>48</v>
      </c>
    </row>
    <row r="12" spans="1:9">
      <c r="A12" s="6" t="s">
        <v>41</v>
      </c>
      <c r="B12" s="6">
        <v>3</v>
      </c>
      <c r="C12" s="6">
        <v>66638.031863130353</v>
      </c>
      <c r="D12" s="6">
        <v>22212.677287710118</v>
      </c>
      <c r="E12" s="6">
        <v>6.5070594886730326</v>
      </c>
      <c r="F12" s="6">
        <v>3.9402218662972751E-3</v>
      </c>
    </row>
    <row r="13" spans="1:9">
      <c r="A13" s="6" t="s">
        <v>42</v>
      </c>
      <c r="B13" s="6">
        <v>17</v>
      </c>
      <c r="C13" s="6">
        <v>58031.667690820221</v>
      </c>
      <c r="D13" s="6">
        <v>3413.627511224719</v>
      </c>
      <c r="E13" s="6"/>
      <c r="F13" s="6"/>
    </row>
    <row r="14" spans="1:9" ht="14.4" thickBot="1">
      <c r="A14" s="7" t="s">
        <v>43</v>
      </c>
      <c r="B14" s="7">
        <v>20</v>
      </c>
      <c r="C14" s="7">
        <v>124669.69955395057</v>
      </c>
      <c r="D14" s="7"/>
      <c r="E14" s="7"/>
      <c r="F14" s="7"/>
    </row>
    <row r="15" spans="1:9" ht="14.4" thickBot="1"/>
    <row r="16" spans="1:9" ht="14.4">
      <c r="A16" s="8"/>
      <c r="B16" s="8" t="s">
        <v>67</v>
      </c>
      <c r="C16" s="8" t="s">
        <v>38</v>
      </c>
      <c r="D16" s="8" t="s">
        <v>49</v>
      </c>
      <c r="E16" s="8" t="s">
        <v>50</v>
      </c>
      <c r="F16" s="8" t="s">
        <v>51</v>
      </c>
      <c r="G16" s="8" t="s">
        <v>52</v>
      </c>
      <c r="H16" s="8" t="s">
        <v>53</v>
      </c>
      <c r="I16" s="8" t="s">
        <v>54</v>
      </c>
    </row>
    <row r="17" spans="1:9">
      <c r="A17" s="6" t="s">
        <v>73</v>
      </c>
      <c r="B17" s="6">
        <v>-114.83515026466341</v>
      </c>
      <c r="C17" s="6">
        <v>78.289964490278209</v>
      </c>
      <c r="D17" s="6">
        <v>-1.4667927238480645</v>
      </c>
      <c r="E17" s="6">
        <v>0.16068774929898919</v>
      </c>
      <c r="F17" s="6">
        <v>-280.01253693426963</v>
      </c>
      <c r="G17" s="6">
        <v>50.342236404942781</v>
      </c>
      <c r="H17" s="6">
        <v>-280.01253693426963</v>
      </c>
      <c r="I17" s="6">
        <v>50.342236404942781</v>
      </c>
    </row>
    <row r="18" spans="1:9">
      <c r="A18" s="6" t="s">
        <v>9</v>
      </c>
      <c r="B18" s="6">
        <v>2.2977118529511121E-3</v>
      </c>
      <c r="C18" s="6">
        <v>9.5192960980377585E-4</v>
      </c>
      <c r="D18" s="6">
        <v>2.4137413410480493</v>
      </c>
      <c r="E18" s="6">
        <v>2.7354838307583666E-2</v>
      </c>
      <c r="F18" s="6">
        <v>2.8931593318631474E-4</v>
      </c>
      <c r="G18" s="6">
        <v>4.3061077727159095E-3</v>
      </c>
      <c r="H18" s="6">
        <v>2.8931593318631474E-4</v>
      </c>
      <c r="I18" s="6">
        <v>4.3061077727159095E-3</v>
      </c>
    </row>
    <row r="19" spans="1:9">
      <c r="A19" s="6" t="s">
        <v>10</v>
      </c>
      <c r="B19" s="6">
        <v>4.2195245732310891</v>
      </c>
      <c r="C19" s="6">
        <v>4.840005896430104</v>
      </c>
      <c r="D19" s="6">
        <v>0.87180153568476637</v>
      </c>
      <c r="E19" s="6">
        <v>0.39546265697215832</v>
      </c>
      <c r="F19" s="6">
        <v>-5.9919952638622522</v>
      </c>
      <c r="G19" s="6">
        <v>14.43104441032443</v>
      </c>
      <c r="H19" s="6">
        <v>-5.9919952638622522</v>
      </c>
      <c r="I19" s="6">
        <v>14.43104441032443</v>
      </c>
    </row>
    <row r="20" spans="1:9" ht="14.4" thickBot="1">
      <c r="A20" s="7" t="s">
        <v>11</v>
      </c>
      <c r="B20" s="7">
        <v>21.42269830379858</v>
      </c>
      <c r="C20" s="7">
        <v>12.736119574983839</v>
      </c>
      <c r="D20" s="7">
        <v>1.6820428057127255</v>
      </c>
      <c r="E20" s="7">
        <v>0.11083654309113829</v>
      </c>
      <c r="F20" s="7">
        <v>-5.4481651766501678</v>
      </c>
      <c r="G20" s="7">
        <v>48.293561784247331</v>
      </c>
      <c r="H20" s="7">
        <v>-5.4481651766501678</v>
      </c>
      <c r="I20" s="7">
        <v>48.293561784247331</v>
      </c>
    </row>
    <row r="24" spans="1:9">
      <c r="A24" t="s">
        <v>74</v>
      </c>
    </row>
    <row r="25" spans="1:9" ht="14.4" thickBot="1"/>
    <row r="26" spans="1:9" ht="14.4">
      <c r="A26" s="8" t="s">
        <v>75</v>
      </c>
      <c r="B26" s="8" t="s">
        <v>76</v>
      </c>
      <c r="C26" s="8" t="s">
        <v>77</v>
      </c>
    </row>
    <row r="27" spans="1:9">
      <c r="A27" s="6">
        <v>1</v>
      </c>
      <c r="B27" s="12">
        <v>141.10501101131408</v>
      </c>
      <c r="C27" s="12">
        <v>-29.057391963695025</v>
      </c>
    </row>
    <row r="28" spans="1:9">
      <c r="A28" s="6">
        <v>2</v>
      </c>
      <c r="B28" s="12">
        <v>153.93616992638789</v>
      </c>
      <c r="C28" s="12">
        <v>6.2447824545645005</v>
      </c>
    </row>
    <row r="29" spans="1:9">
      <c r="A29" s="6">
        <v>3</v>
      </c>
      <c r="B29" s="12">
        <v>32.157888174081116</v>
      </c>
      <c r="C29" s="12">
        <v>-11.894730279344273</v>
      </c>
    </row>
    <row r="30" spans="1:9">
      <c r="A30" s="6">
        <v>4</v>
      </c>
      <c r="B30" s="12">
        <v>54.767288455875018</v>
      </c>
      <c r="C30" s="12">
        <v>46.085652720595576</v>
      </c>
    </row>
    <row r="31" spans="1:9">
      <c r="A31" s="6">
        <v>5</v>
      </c>
      <c r="B31" s="12">
        <v>229.79090357336941</v>
      </c>
      <c r="C31" s="12">
        <v>-59.718176300642142</v>
      </c>
    </row>
    <row r="32" spans="1:9">
      <c r="A32" s="6">
        <v>6</v>
      </c>
      <c r="B32" s="12">
        <v>179.8197146177065</v>
      </c>
      <c r="C32" s="12">
        <v>192.06707783512371</v>
      </c>
    </row>
    <row r="33" spans="1:3">
      <c r="A33" s="6">
        <v>7</v>
      </c>
      <c r="B33" s="12">
        <v>151.7406303741534</v>
      </c>
      <c r="C33" s="12">
        <v>-55.958724073668748</v>
      </c>
    </row>
    <row r="34" spans="1:3">
      <c r="A34" s="6">
        <v>8</v>
      </c>
      <c r="B34" s="12">
        <v>124.24022741288989</v>
      </c>
      <c r="C34" s="12">
        <v>-41.521439534102015</v>
      </c>
    </row>
    <row r="35" spans="1:3">
      <c r="A35" s="6">
        <v>9</v>
      </c>
      <c r="B35" s="12">
        <v>83.255200778100544</v>
      </c>
      <c r="C35" s="12">
        <v>-10.665915063814822</v>
      </c>
    </row>
    <row r="36" spans="1:3">
      <c r="A36" s="6">
        <v>10</v>
      </c>
      <c r="B36" s="12">
        <v>60.630880123272931</v>
      </c>
      <c r="C36" s="12">
        <v>-15.730880123272932</v>
      </c>
    </row>
    <row r="37" spans="1:3">
      <c r="A37" s="6">
        <v>11</v>
      </c>
      <c r="B37" s="12">
        <v>142.78511588245058</v>
      </c>
      <c r="C37" s="12">
        <v>-11.671479518814238</v>
      </c>
    </row>
    <row r="38" spans="1:3">
      <c r="A38" s="6">
        <v>12</v>
      </c>
      <c r="B38" s="12">
        <v>119.95884900546693</v>
      </c>
      <c r="C38" s="12">
        <v>-54.454604523293753</v>
      </c>
    </row>
    <row r="39" spans="1:3">
      <c r="A39" s="6">
        <v>13</v>
      </c>
      <c r="B39" s="12">
        <v>132.53106910883719</v>
      </c>
      <c r="C39" s="12">
        <v>-1.1068266845947505</v>
      </c>
    </row>
    <row r="40" spans="1:3">
      <c r="A40" s="6">
        <v>14</v>
      </c>
      <c r="B40" s="12">
        <v>97.716423254509209</v>
      </c>
      <c r="C40" s="12">
        <v>-22.795370622930264</v>
      </c>
    </row>
    <row r="41" spans="1:3">
      <c r="A41" s="6">
        <v>15</v>
      </c>
      <c r="B41" s="12">
        <v>90.80533020874357</v>
      </c>
      <c r="C41" s="12">
        <v>-22.711872264818325</v>
      </c>
    </row>
    <row r="42" spans="1:3">
      <c r="A42" s="6">
        <v>16</v>
      </c>
      <c r="B42" s="12">
        <v>6.7651463829348657</v>
      </c>
      <c r="C42" s="12">
        <v>25.497764415187198</v>
      </c>
    </row>
    <row r="43" spans="1:3">
      <c r="A43" s="6">
        <v>17</v>
      </c>
      <c r="B43" s="12">
        <v>120.26738267286997</v>
      </c>
      <c r="C43" s="12">
        <v>-14.334346958584248</v>
      </c>
    </row>
    <row r="44" spans="1:3">
      <c r="A44" s="6">
        <v>18</v>
      </c>
      <c r="B44" s="12">
        <v>168.36382338588069</v>
      </c>
      <c r="C44" s="12">
        <v>-17.643823385880694</v>
      </c>
    </row>
    <row r="45" spans="1:3">
      <c r="A45" s="6">
        <v>19</v>
      </c>
      <c r="B45" s="12">
        <v>193.92649241637193</v>
      </c>
      <c r="C45" s="12">
        <v>35.790898887975914</v>
      </c>
    </row>
    <row r="46" spans="1:3">
      <c r="A46" s="6">
        <v>20</v>
      </c>
      <c r="B46" s="12">
        <v>23.556000607512757</v>
      </c>
      <c r="C46" s="12">
        <v>14.425529735495161</v>
      </c>
    </row>
    <row r="47" spans="1:3" ht="14.4" thickBot="1">
      <c r="A47" s="7">
        <v>21</v>
      </c>
      <c r="B47" s="13">
        <v>112.93137065312462</v>
      </c>
      <c r="C47" s="13">
        <v>49.153875248514737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2A95-FCEB-42FF-9116-C315D19FC2C9}">
  <dimension ref="A1:V24"/>
  <sheetViews>
    <sheetView topLeftCell="A4" zoomScaleNormal="100" workbookViewId="0">
      <selection activeCell="N16" sqref="N16"/>
    </sheetView>
  </sheetViews>
  <sheetFormatPr defaultColWidth="9.09765625" defaultRowHeight="15.6"/>
  <cols>
    <col min="1" max="4" width="9.09765625" style="1"/>
    <col min="6" max="6" width="9.09765625" style="1"/>
    <col min="7" max="7" width="12" style="1" bestFit="1" customWidth="1"/>
    <col min="8" max="8" width="14" style="1" bestFit="1" customWidth="1"/>
    <col min="9" max="9" width="26" style="1" bestFit="1" customWidth="1"/>
    <col min="10" max="10" width="13.09765625" style="1" bestFit="1" customWidth="1"/>
    <col min="11" max="11" width="14.69921875" style="1" bestFit="1" customWidth="1"/>
    <col min="12" max="12" width="20" style="1" bestFit="1" customWidth="1"/>
    <col min="13" max="13" width="26" style="1" bestFit="1" customWidth="1"/>
    <col min="15" max="16" width="9.09765625" style="1"/>
    <col min="17" max="17" width="24.5" style="1" bestFit="1" customWidth="1"/>
    <col min="18" max="16384" width="9.09765625" style="1"/>
  </cols>
  <sheetData>
    <row r="1" spans="1:22" ht="15.75" customHeight="1">
      <c r="A1" s="14" t="s">
        <v>0</v>
      </c>
      <c r="B1" s="14"/>
      <c r="C1" s="14"/>
      <c r="D1" s="14"/>
      <c r="E1" s="1"/>
      <c r="J1" s="2" t="s">
        <v>1</v>
      </c>
      <c r="K1" s="2" t="s">
        <v>2</v>
      </c>
      <c r="L1" s="2" t="s">
        <v>3</v>
      </c>
      <c r="M1" s="2" t="s">
        <v>4</v>
      </c>
      <c r="N1" s="1"/>
    </row>
    <row r="2" spans="1:22">
      <c r="A2" s="14"/>
      <c r="B2" s="14"/>
      <c r="C2" s="14"/>
      <c r="D2" s="14"/>
      <c r="E2" s="1"/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1"/>
    </row>
    <row r="3" spans="1:22">
      <c r="A3" s="14"/>
      <c r="B3" s="14"/>
      <c r="C3" s="14"/>
      <c r="D3" s="14"/>
      <c r="E3" s="1"/>
      <c r="F3" s="4">
        <v>1</v>
      </c>
      <c r="G3" s="4" t="s">
        <v>12</v>
      </c>
      <c r="H3" s="4">
        <v>8.4</v>
      </c>
      <c r="I3" s="4">
        <v>941.2</v>
      </c>
      <c r="J3" s="5">
        <f>I3/H3</f>
        <v>112.04761904761905</v>
      </c>
      <c r="K3" s="4">
        <v>49600</v>
      </c>
      <c r="L3" s="4">
        <v>4.2</v>
      </c>
      <c r="M3" s="4">
        <v>5.8</v>
      </c>
      <c r="N3" s="1"/>
    </row>
    <row r="4" spans="1:22">
      <c r="A4" s="14"/>
      <c r="B4" s="14"/>
      <c r="C4" s="14"/>
      <c r="D4" s="14"/>
      <c r="E4" s="1"/>
      <c r="F4" s="4">
        <v>2</v>
      </c>
      <c r="G4" s="4" t="s">
        <v>13</v>
      </c>
      <c r="H4" s="4">
        <v>10.5</v>
      </c>
      <c r="I4" s="4">
        <v>1681.9</v>
      </c>
      <c r="J4" s="5">
        <f t="shared" ref="J4:J23" si="0">I4/H4</f>
        <v>160.18095238095239</v>
      </c>
      <c r="K4" s="4">
        <v>47090</v>
      </c>
      <c r="L4" s="4">
        <v>8.1</v>
      </c>
      <c r="M4" s="4">
        <v>5.9</v>
      </c>
      <c r="N4" s="1"/>
      <c r="Q4" s="4"/>
      <c r="R4" s="4"/>
      <c r="S4" s="4"/>
      <c r="T4" s="4"/>
      <c r="U4" s="4"/>
      <c r="V4" s="4"/>
    </row>
    <row r="5" spans="1:22">
      <c r="A5" s="14"/>
      <c r="B5" s="14"/>
      <c r="C5" s="14"/>
      <c r="D5" s="14"/>
      <c r="E5" s="1"/>
      <c r="F5" s="4">
        <v>3</v>
      </c>
      <c r="G5" s="4" t="s">
        <v>14</v>
      </c>
      <c r="H5" s="4">
        <v>7.6</v>
      </c>
      <c r="I5" s="4">
        <v>154</v>
      </c>
      <c r="J5" s="5">
        <f t="shared" si="0"/>
        <v>20.263157894736842</v>
      </c>
      <c r="K5" s="4">
        <v>6550</v>
      </c>
      <c r="L5" s="4">
        <v>13.5</v>
      </c>
      <c r="M5" s="4">
        <v>3.5</v>
      </c>
      <c r="N5" s="1"/>
      <c r="Q5" s="4"/>
      <c r="R5" s="4"/>
      <c r="S5" s="4"/>
      <c r="T5" s="4"/>
      <c r="U5" s="4"/>
      <c r="V5" s="4"/>
    </row>
    <row r="6" spans="1:22">
      <c r="A6" s="14"/>
      <c r="B6" s="14"/>
      <c r="C6" s="14"/>
      <c r="D6" s="14"/>
      <c r="E6" s="1"/>
      <c r="F6" s="4">
        <v>4</v>
      </c>
      <c r="G6" s="4" t="s">
        <v>15</v>
      </c>
      <c r="H6" s="4">
        <v>10.199999999999999</v>
      </c>
      <c r="I6" s="4">
        <v>1028.7</v>
      </c>
      <c r="J6" s="5">
        <f t="shared" si="0"/>
        <v>100.85294117647059</v>
      </c>
      <c r="K6" s="4">
        <v>20670</v>
      </c>
      <c r="L6" s="4">
        <v>6.6</v>
      </c>
      <c r="M6" s="4">
        <v>4.4000000000000004</v>
      </c>
      <c r="N6" s="1"/>
      <c r="Q6" s="4"/>
      <c r="R6" s="4"/>
      <c r="S6" s="4"/>
      <c r="T6" s="4"/>
      <c r="U6" s="4"/>
      <c r="V6" s="4"/>
    </row>
    <row r="7" spans="1:22">
      <c r="A7" s="14"/>
      <c r="B7" s="14"/>
      <c r="C7" s="14"/>
      <c r="D7" s="14"/>
      <c r="E7" s="1"/>
      <c r="F7" s="4">
        <v>5</v>
      </c>
      <c r="G7" s="4" t="s">
        <v>16</v>
      </c>
      <c r="H7" s="4">
        <v>5.5</v>
      </c>
      <c r="I7" s="4">
        <v>935.4</v>
      </c>
      <c r="J7" s="5">
        <f t="shared" si="0"/>
        <v>170.07272727272726</v>
      </c>
      <c r="K7" s="4">
        <v>62120</v>
      </c>
      <c r="L7" s="4">
        <v>5.2</v>
      </c>
      <c r="M7" s="4">
        <v>8.4</v>
      </c>
      <c r="N7" s="1"/>
      <c r="Q7" s="4"/>
      <c r="R7" s="4"/>
      <c r="S7" s="4"/>
      <c r="T7" s="4"/>
      <c r="U7" s="4"/>
      <c r="V7" s="4"/>
    </row>
    <row r="8" spans="1:22">
      <c r="A8" s="14"/>
      <c r="B8" s="14"/>
      <c r="C8" s="14"/>
      <c r="D8" s="14"/>
      <c r="E8" s="1"/>
      <c r="F8" s="4">
        <v>6</v>
      </c>
      <c r="G8" s="4" t="s">
        <v>17</v>
      </c>
      <c r="H8" s="4">
        <v>5.3</v>
      </c>
      <c r="I8" s="4">
        <v>1971</v>
      </c>
      <c r="J8" s="5">
        <f t="shared" si="0"/>
        <v>371.88679245283021</v>
      </c>
      <c r="K8" s="4">
        <v>51320</v>
      </c>
      <c r="L8" s="4">
        <v>9.9</v>
      </c>
      <c r="M8" s="4">
        <v>6.3</v>
      </c>
      <c r="N8" s="1"/>
      <c r="Q8" s="4"/>
      <c r="R8" s="4"/>
      <c r="S8" s="4"/>
      <c r="T8" s="4"/>
      <c r="U8" s="4"/>
      <c r="V8" s="4"/>
    </row>
    <row r="9" spans="1:22">
      <c r="A9" s="14"/>
      <c r="B9" s="14"/>
      <c r="C9" s="14"/>
      <c r="D9" s="14"/>
      <c r="E9" s="1"/>
      <c r="F9" s="4">
        <v>7</v>
      </c>
      <c r="G9" s="4" t="s">
        <v>18</v>
      </c>
      <c r="H9" s="4">
        <v>61.9</v>
      </c>
      <c r="I9" s="4">
        <v>5928.9</v>
      </c>
      <c r="J9" s="5">
        <f t="shared" si="0"/>
        <v>95.78190630048465</v>
      </c>
      <c r="K9" s="4">
        <v>44510</v>
      </c>
      <c r="L9" s="4">
        <v>10</v>
      </c>
      <c r="M9" s="4">
        <v>5.7</v>
      </c>
      <c r="N9" s="1"/>
    </row>
    <row r="10" spans="1:22">
      <c r="A10" s="14"/>
      <c r="B10" s="14"/>
      <c r="C10" s="14"/>
      <c r="D10" s="14"/>
      <c r="E10" s="1"/>
      <c r="F10" s="4">
        <v>8</v>
      </c>
      <c r="G10" s="4" t="s">
        <v>19</v>
      </c>
      <c r="H10" s="4">
        <v>82.5</v>
      </c>
      <c r="I10" s="4">
        <v>6824.3</v>
      </c>
      <c r="J10" s="5">
        <f t="shared" si="0"/>
        <v>82.718787878787879</v>
      </c>
      <c r="K10" s="4">
        <v>44450</v>
      </c>
      <c r="L10" s="4">
        <v>9.1</v>
      </c>
      <c r="M10" s="4">
        <v>4.5999999999999996</v>
      </c>
      <c r="N10" s="1"/>
    </row>
    <row r="11" spans="1:22">
      <c r="E11" s="1"/>
      <c r="F11" s="4">
        <v>9</v>
      </c>
      <c r="G11" s="4" t="s">
        <v>20</v>
      </c>
      <c r="H11" s="4">
        <v>11.2</v>
      </c>
      <c r="I11" s="4">
        <v>813</v>
      </c>
      <c r="J11" s="5">
        <f t="shared" si="0"/>
        <v>72.589285714285722</v>
      </c>
      <c r="K11" s="4">
        <v>31670</v>
      </c>
      <c r="L11" s="4">
        <v>9.9</v>
      </c>
      <c r="M11" s="4">
        <v>3.9</v>
      </c>
      <c r="N11" s="1"/>
    </row>
    <row r="12" spans="1:22">
      <c r="E12" s="1"/>
      <c r="F12" s="4">
        <v>10</v>
      </c>
      <c r="G12" s="4" t="s">
        <v>21</v>
      </c>
      <c r="H12" s="4">
        <v>10</v>
      </c>
      <c r="I12" s="4">
        <v>449</v>
      </c>
      <c r="J12" s="5">
        <f t="shared" si="0"/>
        <v>44.9</v>
      </c>
      <c r="K12" s="4">
        <v>15410</v>
      </c>
      <c r="L12" s="4">
        <v>7.3</v>
      </c>
      <c r="M12" s="4">
        <v>5.0999999999999996</v>
      </c>
      <c r="N12" s="1"/>
    </row>
    <row r="13" spans="1:22">
      <c r="E13" s="1"/>
      <c r="F13" s="4">
        <v>11</v>
      </c>
      <c r="G13" s="4" t="s">
        <v>22</v>
      </c>
      <c r="H13" s="4">
        <v>4.4000000000000004</v>
      </c>
      <c r="I13" s="4">
        <v>576.9</v>
      </c>
      <c r="J13" s="5">
        <f t="shared" si="0"/>
        <v>131.11363636363635</v>
      </c>
      <c r="K13" s="4">
        <v>60460</v>
      </c>
      <c r="L13" s="4">
        <v>6.3</v>
      </c>
      <c r="M13" s="4">
        <v>4.3</v>
      </c>
      <c r="N13" s="1"/>
    </row>
    <row r="14" spans="1:22">
      <c r="E14" s="1"/>
      <c r="F14" s="4">
        <v>12</v>
      </c>
      <c r="G14" s="4" t="s">
        <v>23</v>
      </c>
      <c r="H14" s="4">
        <v>58.9</v>
      </c>
      <c r="I14" s="4">
        <v>3858.2</v>
      </c>
      <c r="J14" s="5">
        <f t="shared" si="0"/>
        <v>65.504244482173178</v>
      </c>
      <c r="K14" s="4">
        <v>38490</v>
      </c>
      <c r="L14" s="4">
        <v>9.3000000000000007</v>
      </c>
      <c r="M14" s="4">
        <v>5</v>
      </c>
      <c r="N14" s="1"/>
    </row>
    <row r="15" spans="1:22">
      <c r="E15" s="1"/>
      <c r="F15" s="4">
        <v>13</v>
      </c>
      <c r="G15" s="4" t="s">
        <v>24</v>
      </c>
      <c r="H15" s="4">
        <v>16.5</v>
      </c>
      <c r="I15" s="4">
        <v>2168.5</v>
      </c>
      <c r="J15" s="5">
        <f t="shared" si="0"/>
        <v>131.42424242424244</v>
      </c>
      <c r="K15" s="4">
        <v>52960</v>
      </c>
      <c r="L15" s="4">
        <v>4.4000000000000004</v>
      </c>
      <c r="M15" s="4">
        <v>5</v>
      </c>
      <c r="N15" s="1"/>
    </row>
    <row r="16" spans="1:22">
      <c r="E16" s="1"/>
      <c r="F16" s="4">
        <v>14</v>
      </c>
      <c r="G16" s="4" t="s">
        <v>25</v>
      </c>
      <c r="H16" s="4">
        <v>38</v>
      </c>
      <c r="I16" s="4">
        <v>2847</v>
      </c>
      <c r="J16" s="5">
        <f t="shared" si="0"/>
        <v>74.921052631578945</v>
      </c>
      <c r="K16" s="4">
        <v>13850</v>
      </c>
      <c r="L16" s="4">
        <v>14.4</v>
      </c>
      <c r="M16" s="4">
        <v>5.6</v>
      </c>
      <c r="N16" s="1"/>
    </row>
    <row r="17" spans="5:14">
      <c r="E17" s="1"/>
      <c r="F17" s="4">
        <v>15</v>
      </c>
      <c r="G17" s="4" t="s">
        <v>26</v>
      </c>
      <c r="H17" s="4">
        <v>10.7</v>
      </c>
      <c r="I17" s="4">
        <v>728.6</v>
      </c>
      <c r="J17" s="5">
        <f t="shared" si="0"/>
        <v>68.093457943925245</v>
      </c>
      <c r="K17" s="4">
        <v>22920</v>
      </c>
      <c r="L17" s="4">
        <v>6.3</v>
      </c>
      <c r="M17" s="4">
        <v>5.9</v>
      </c>
      <c r="N17" s="1"/>
    </row>
    <row r="18" spans="5:14">
      <c r="E18" s="1"/>
      <c r="F18" s="4">
        <v>16</v>
      </c>
      <c r="G18" s="4" t="s">
        <v>27</v>
      </c>
      <c r="H18" s="4">
        <v>21.3</v>
      </c>
      <c r="I18" s="4">
        <v>687.2</v>
      </c>
      <c r="J18" s="5">
        <f t="shared" si="0"/>
        <v>32.262910798122064</v>
      </c>
      <c r="K18" s="4">
        <v>9300</v>
      </c>
      <c r="L18" s="4">
        <v>7</v>
      </c>
      <c r="M18" s="4">
        <v>3.3</v>
      </c>
      <c r="N18" s="1"/>
    </row>
    <row r="19" spans="5:14">
      <c r="E19" s="1"/>
      <c r="F19" s="4">
        <v>17</v>
      </c>
      <c r="G19" s="4" t="s">
        <v>28</v>
      </c>
      <c r="H19" s="4">
        <v>44.8</v>
      </c>
      <c r="I19" s="4">
        <v>4745.8</v>
      </c>
      <c r="J19" s="5">
        <f t="shared" si="0"/>
        <v>105.93303571428572</v>
      </c>
      <c r="K19" s="4">
        <v>35220</v>
      </c>
      <c r="L19" s="4">
        <v>14.2</v>
      </c>
      <c r="M19" s="4">
        <v>4.4000000000000004</v>
      </c>
      <c r="N19" s="1"/>
    </row>
    <row r="20" spans="5:14">
      <c r="E20" s="1"/>
      <c r="F20" s="4">
        <v>18</v>
      </c>
      <c r="G20" s="4" t="s">
        <v>29</v>
      </c>
      <c r="H20" s="4">
        <v>7.5</v>
      </c>
      <c r="I20" s="4">
        <v>1130.4000000000001</v>
      </c>
      <c r="J20" s="5">
        <f t="shared" si="0"/>
        <v>150.72</v>
      </c>
      <c r="K20" s="4">
        <v>64430</v>
      </c>
      <c r="L20" s="4">
        <v>3.6</v>
      </c>
      <c r="M20" s="4">
        <v>5.6</v>
      </c>
      <c r="N20" s="1"/>
    </row>
    <row r="21" spans="5:14">
      <c r="E21" s="1"/>
      <c r="F21" s="4">
        <v>19</v>
      </c>
      <c r="G21" s="4" t="s">
        <v>30</v>
      </c>
      <c r="H21" s="4">
        <v>9.1999999999999993</v>
      </c>
      <c r="I21" s="4">
        <v>2113.4</v>
      </c>
      <c r="J21" s="5">
        <f t="shared" si="0"/>
        <v>229.71739130434784</v>
      </c>
      <c r="K21" s="4">
        <v>51950</v>
      </c>
      <c r="L21" s="4">
        <v>6.3</v>
      </c>
      <c r="M21" s="4">
        <v>7.6</v>
      </c>
      <c r="N21" s="1"/>
    </row>
    <row r="22" spans="5:14">
      <c r="E22" s="1"/>
      <c r="F22" s="4">
        <v>20</v>
      </c>
      <c r="G22" s="4" t="s">
        <v>31</v>
      </c>
      <c r="H22" s="4">
        <v>75.8</v>
      </c>
      <c r="I22" s="4">
        <v>2879</v>
      </c>
      <c r="J22" s="5">
        <f t="shared" si="0"/>
        <v>37.981530343007918</v>
      </c>
      <c r="K22" s="4">
        <v>9940</v>
      </c>
      <c r="L22" s="4">
        <v>8.6</v>
      </c>
      <c r="M22" s="4">
        <v>3.7</v>
      </c>
      <c r="N22" s="1"/>
    </row>
    <row r="23" spans="5:14">
      <c r="E23" s="1"/>
      <c r="F23" s="4">
        <v>21</v>
      </c>
      <c r="G23" s="4" t="s">
        <v>32</v>
      </c>
      <c r="H23" s="4">
        <v>61</v>
      </c>
      <c r="I23" s="4">
        <v>9887.2000000000007</v>
      </c>
      <c r="J23" s="5">
        <f t="shared" si="0"/>
        <v>162.08524590163935</v>
      </c>
      <c r="K23" s="4">
        <v>43540</v>
      </c>
      <c r="L23" s="4">
        <v>5.9</v>
      </c>
      <c r="M23" s="4">
        <v>4.8</v>
      </c>
      <c r="N23" s="1"/>
    </row>
    <row r="24" spans="5:14">
      <c r="E24" s="1"/>
      <c r="J24" s="11">
        <f>SUM(J3:J23)</f>
        <v>2421.0509180258532</v>
      </c>
      <c r="K24" s="1">
        <f>SUM(K3:K23)</f>
        <v>776450</v>
      </c>
      <c r="L24" s="1">
        <f>SUM(L3:L23)</f>
        <v>170.1</v>
      </c>
      <c r="M24" s="1">
        <f>SUM(M3:M23)</f>
        <v>108.8</v>
      </c>
      <c r="N24" s="1"/>
    </row>
  </sheetData>
  <mergeCells count="1">
    <mergeCell ref="A1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D712-F791-4CB6-8966-0E9745BD923A}">
  <dimension ref="A1:I20"/>
  <sheetViews>
    <sheetView workbookViewId="0">
      <selection activeCell="F26" sqref="F26"/>
    </sheetView>
  </sheetViews>
  <sheetFormatPr defaultRowHeight="13.8"/>
  <cols>
    <col min="1" max="1" width="29.3984375" bestFit="1" customWidth="1"/>
    <col min="2" max="2" width="13.8984375" bestFit="1" customWidth="1"/>
    <col min="3" max="3" width="13.3984375" bestFit="1" customWidth="1"/>
    <col min="4" max="4" width="12.5" bestFit="1" customWidth="1"/>
    <col min="5" max="5" width="11.8984375" bestFit="1" customWidth="1"/>
    <col min="6" max="6" width="13.09765625" bestFit="1" customWidth="1"/>
    <col min="7" max="7" width="11.8984375" bestFit="1" customWidth="1"/>
    <col min="8" max="8" width="12.5" bestFit="1" customWidth="1"/>
    <col min="9" max="9" width="12" bestFit="1" customWidth="1"/>
  </cols>
  <sheetData>
    <row r="1" spans="1:9">
      <c r="A1" t="s">
        <v>33</v>
      </c>
    </row>
    <row r="2" spans="1:9" ht="14.4" thickBot="1"/>
    <row r="3" spans="1:9" ht="14.4">
      <c r="A3" s="9" t="s">
        <v>34</v>
      </c>
      <c r="B3" s="9"/>
    </row>
    <row r="4" spans="1:9">
      <c r="A4" s="6" t="s">
        <v>35</v>
      </c>
      <c r="B4" s="6">
        <v>0.73110646532801471</v>
      </c>
    </row>
    <row r="5" spans="1:9">
      <c r="A5" s="6" t="s">
        <v>36</v>
      </c>
      <c r="B5" s="6">
        <v>0.53451666364442363</v>
      </c>
    </row>
    <row r="6" spans="1:9">
      <c r="A6" s="6" t="s">
        <v>37</v>
      </c>
      <c r="B6" s="6">
        <v>0.45237254546402783</v>
      </c>
    </row>
    <row r="7" spans="1:9">
      <c r="A7" s="6" t="s">
        <v>38</v>
      </c>
      <c r="B7" s="6">
        <v>58.42625703589713</v>
      </c>
    </row>
    <row r="8" spans="1:9" ht="14.4" thickBot="1">
      <c r="A8" s="7" t="s">
        <v>39</v>
      </c>
      <c r="B8" s="7">
        <v>21</v>
      </c>
    </row>
    <row r="10" spans="1:9" ht="14.4" thickBot="1">
      <c r="A10" t="s">
        <v>40</v>
      </c>
    </row>
    <row r="11" spans="1:9" ht="14.4">
      <c r="A11" s="8"/>
      <c r="B11" s="8" t="s">
        <v>44</v>
      </c>
      <c r="C11" s="8" t="s">
        <v>45</v>
      </c>
      <c r="D11" s="8" t="s">
        <v>46</v>
      </c>
      <c r="E11" s="8" t="s">
        <v>47</v>
      </c>
      <c r="F11" s="8" t="s">
        <v>48</v>
      </c>
    </row>
    <row r="12" spans="1:9">
      <c r="A12" s="6" t="s">
        <v>41</v>
      </c>
      <c r="B12" s="6">
        <v>3</v>
      </c>
      <c r="C12" s="6">
        <v>66638.031863130353</v>
      </c>
      <c r="D12" s="6">
        <v>22212.677287710118</v>
      </c>
      <c r="E12" s="6">
        <v>6.5070594886730326</v>
      </c>
      <c r="F12" s="6">
        <v>3.9402218662972751E-3</v>
      </c>
    </row>
    <row r="13" spans="1:9">
      <c r="A13" s="6" t="s">
        <v>42</v>
      </c>
      <c r="B13" s="6">
        <v>17</v>
      </c>
      <c r="C13" s="6">
        <v>58031.667690820221</v>
      </c>
      <c r="D13" s="6">
        <v>3413.627511224719</v>
      </c>
      <c r="E13" s="6"/>
      <c r="F13" s="6"/>
    </row>
    <row r="14" spans="1:9" ht="14.4" thickBot="1">
      <c r="A14" s="7" t="s">
        <v>43</v>
      </c>
      <c r="B14" s="7">
        <v>20</v>
      </c>
      <c r="C14" s="7">
        <v>124669.69955395057</v>
      </c>
      <c r="D14" s="7"/>
      <c r="E14" s="7"/>
      <c r="F14" s="7"/>
    </row>
    <row r="15" spans="1:9" ht="14.4" thickBot="1"/>
    <row r="16" spans="1:9" ht="14.4">
      <c r="A16" s="8"/>
      <c r="B16" s="8" t="s">
        <v>55</v>
      </c>
      <c r="C16" s="8" t="s">
        <v>38</v>
      </c>
      <c r="D16" s="8" t="s">
        <v>49</v>
      </c>
      <c r="E16" s="8" t="s">
        <v>50</v>
      </c>
      <c r="F16" s="8" t="s">
        <v>51</v>
      </c>
      <c r="G16" s="8" t="s">
        <v>52</v>
      </c>
      <c r="H16" s="8" t="s">
        <v>53</v>
      </c>
      <c r="I16" s="8" t="s">
        <v>54</v>
      </c>
    </row>
    <row r="17" spans="1:9">
      <c r="A17" s="6" t="s">
        <v>68</v>
      </c>
      <c r="B17" s="6">
        <v>-114.835150264663</v>
      </c>
      <c r="C17" s="6">
        <v>78.289964490278209</v>
      </c>
      <c r="D17" s="6">
        <v>-1.4667927238480645</v>
      </c>
      <c r="E17" s="6">
        <v>0.16068774929898919</v>
      </c>
      <c r="F17" s="6">
        <v>-280.01253693426963</v>
      </c>
      <c r="G17" s="6">
        <v>50.342236404942781</v>
      </c>
      <c r="H17" s="6">
        <v>-280.01253693426963</v>
      </c>
      <c r="I17" s="6">
        <v>50.342236404942781</v>
      </c>
    </row>
    <row r="18" spans="1:9">
      <c r="A18" s="6" t="s">
        <v>56</v>
      </c>
      <c r="B18" s="6">
        <v>2.2977118529511121E-3</v>
      </c>
      <c r="C18" s="6">
        <v>9.5192960980377585E-4</v>
      </c>
      <c r="D18" s="6">
        <v>2.4137413410480493</v>
      </c>
      <c r="E18" s="6">
        <v>2.7354838307583666E-2</v>
      </c>
      <c r="F18" s="6">
        <v>2.8931593318631474E-4</v>
      </c>
      <c r="G18" s="6">
        <v>4.3061077727159095E-3</v>
      </c>
      <c r="H18" s="6">
        <v>2.8931593318631474E-4</v>
      </c>
      <c r="I18" s="6">
        <v>4.3061077727159095E-3</v>
      </c>
    </row>
    <row r="19" spans="1:9">
      <c r="A19" s="6" t="s">
        <v>57</v>
      </c>
      <c r="B19" s="6">
        <v>4.2195245732310891</v>
      </c>
      <c r="C19" s="6">
        <v>4.840005896430104</v>
      </c>
      <c r="D19" s="6">
        <v>0.87180153568476637</v>
      </c>
      <c r="E19" s="6">
        <v>0.39546265697215832</v>
      </c>
      <c r="F19" s="6">
        <v>-5.9919952638622522</v>
      </c>
      <c r="G19" s="6">
        <v>14.43104441032443</v>
      </c>
      <c r="H19" s="6">
        <v>-5.9919952638622522</v>
      </c>
      <c r="I19" s="6">
        <v>14.43104441032443</v>
      </c>
    </row>
    <row r="20" spans="1:9" ht="14.4" thickBot="1">
      <c r="A20" s="7" t="s">
        <v>58</v>
      </c>
      <c r="B20" s="7">
        <v>21.42269830379858</v>
      </c>
      <c r="C20" s="7">
        <v>12.736119574983839</v>
      </c>
      <c r="D20" s="7">
        <v>1.6820428057127255</v>
      </c>
      <c r="E20" s="7">
        <v>0.11083654309113829</v>
      </c>
      <c r="F20" s="7">
        <v>-5.4481651766501678</v>
      </c>
      <c r="G20" s="7">
        <v>48.293561784247331</v>
      </c>
      <c r="H20" s="7">
        <v>-5.4481651766501678</v>
      </c>
      <c r="I20" s="7">
        <v>48.293561784247331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DA91-E7EE-42F0-B999-145B0A614B43}">
  <dimension ref="A1:B10"/>
  <sheetViews>
    <sheetView tabSelected="1" workbookViewId="0">
      <selection activeCell="B10" sqref="B10"/>
    </sheetView>
  </sheetViews>
  <sheetFormatPr defaultRowHeight="13.8"/>
  <cols>
    <col min="1" max="1" width="65.19921875" bestFit="1" customWidth="1"/>
  </cols>
  <sheetData>
    <row r="1" spans="1:2" ht="17.399999999999999">
      <c r="A1" s="10" t="s">
        <v>59</v>
      </c>
    </row>
    <row r="3" spans="1:2">
      <c r="A3" t="s">
        <v>60</v>
      </c>
    </row>
    <row r="4" spans="1:2">
      <c r="A4" t="s">
        <v>61</v>
      </c>
    </row>
    <row r="5" spans="1:2">
      <c r="A5" t="s">
        <v>62</v>
      </c>
    </row>
    <row r="6" spans="1:2">
      <c r="A6" t="s">
        <v>63</v>
      </c>
    </row>
    <row r="7" spans="1:2">
      <c r="A7" t="s">
        <v>64</v>
      </c>
    </row>
    <row r="8" spans="1:2">
      <c r="A8" t="s">
        <v>65</v>
      </c>
    </row>
    <row r="10" spans="1:2">
      <c r="A10" t="s">
        <v>66</v>
      </c>
      <c r="B10">
        <f>-114.835+0.002+4.219+21.422</f>
        <v>-89.192000000000007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8F49-90EA-461A-BCA0-AEE92B34365B}">
  <dimension ref="A1:I24"/>
  <sheetViews>
    <sheetView topLeftCell="A4" workbookViewId="0">
      <selection activeCell="B17" sqref="B17"/>
    </sheetView>
  </sheetViews>
  <sheetFormatPr defaultRowHeight="13.8"/>
  <cols>
    <col min="1" max="1" width="52" bestFit="1" customWidth="1"/>
    <col min="2" max="2" width="12.5" bestFit="1" customWidth="1"/>
    <col min="3" max="3" width="13.3984375" bestFit="1" customWidth="1"/>
    <col min="4" max="4" width="12.5" bestFit="1" customWidth="1"/>
    <col min="5" max="5" width="11.8984375" bestFit="1" customWidth="1"/>
    <col min="6" max="6" width="13.09765625" bestFit="1" customWidth="1"/>
    <col min="7" max="7" width="11.8984375" bestFit="1" customWidth="1"/>
    <col min="8" max="8" width="12.5" bestFit="1" customWidth="1"/>
    <col min="9" max="9" width="12" bestFit="1" customWidth="1"/>
  </cols>
  <sheetData>
    <row r="1" spans="1:9">
      <c r="A1" t="s">
        <v>33</v>
      </c>
    </row>
    <row r="2" spans="1:9" ht="14.4" thickBot="1"/>
    <row r="3" spans="1:9" ht="14.4">
      <c r="A3" s="9" t="s">
        <v>34</v>
      </c>
      <c r="B3" s="9"/>
    </row>
    <row r="4" spans="1:9">
      <c r="A4" s="6" t="s">
        <v>35</v>
      </c>
      <c r="B4" s="6">
        <v>0.73110646532801471</v>
      </c>
    </row>
    <row r="5" spans="1:9">
      <c r="A5" s="6" t="s">
        <v>36</v>
      </c>
      <c r="B5" s="6">
        <v>0.53451666364442363</v>
      </c>
    </row>
    <row r="6" spans="1:9" ht="15.6">
      <c r="A6" s="6" t="s">
        <v>37</v>
      </c>
      <c r="B6" s="6">
        <v>0.45237254546402783</v>
      </c>
      <c r="G6" s="1">
        <v>776450</v>
      </c>
      <c r="H6" s="1">
        <v>170.1</v>
      </c>
      <c r="I6" s="1">
        <v>108.8</v>
      </c>
    </row>
    <row r="7" spans="1:9">
      <c r="A7" s="6" t="s">
        <v>38</v>
      </c>
      <c r="B7" s="6">
        <v>58.42625703589713</v>
      </c>
    </row>
    <row r="8" spans="1:9" ht="14.4" thickBot="1">
      <c r="A8" s="7" t="s">
        <v>39</v>
      </c>
      <c r="B8" s="7">
        <v>21</v>
      </c>
    </row>
    <row r="10" spans="1:9" ht="14.4" thickBot="1">
      <c r="A10" t="s">
        <v>40</v>
      </c>
    </row>
    <row r="11" spans="1:9" ht="14.4">
      <c r="A11" s="8"/>
      <c r="B11" s="8" t="s">
        <v>44</v>
      </c>
      <c r="C11" s="8" t="s">
        <v>45</v>
      </c>
      <c r="D11" s="8" t="s">
        <v>46</v>
      </c>
      <c r="E11" s="8" t="s">
        <v>47</v>
      </c>
      <c r="F11" s="8" t="s">
        <v>48</v>
      </c>
    </row>
    <row r="12" spans="1:9">
      <c r="A12" s="6" t="s">
        <v>41</v>
      </c>
      <c r="B12" s="6">
        <v>3</v>
      </c>
      <c r="C12" s="6">
        <v>66638.031863130353</v>
      </c>
      <c r="D12" s="6">
        <v>22212.677287710118</v>
      </c>
      <c r="E12" s="6">
        <v>6.5070594886730326</v>
      </c>
      <c r="F12" s="6">
        <v>3.9402218662972751E-3</v>
      </c>
    </row>
    <row r="13" spans="1:9">
      <c r="A13" s="6" t="s">
        <v>42</v>
      </c>
      <c r="B13" s="6">
        <v>17</v>
      </c>
      <c r="C13" s="6">
        <v>58031.667690820221</v>
      </c>
      <c r="D13" s="6">
        <v>3413.627511224719</v>
      </c>
      <c r="E13" s="6"/>
      <c r="F13" s="6"/>
    </row>
    <row r="14" spans="1:9" ht="14.4" thickBot="1">
      <c r="A14" s="7" t="s">
        <v>43</v>
      </c>
      <c r="B14" s="7">
        <v>20</v>
      </c>
      <c r="C14" s="7">
        <v>124669.69955395057</v>
      </c>
      <c r="D14" s="7"/>
      <c r="E14" s="7"/>
      <c r="F14" s="7"/>
    </row>
    <row r="15" spans="1:9" ht="14.4" thickBot="1"/>
    <row r="16" spans="1:9" ht="14.4">
      <c r="A16" s="8"/>
      <c r="B16" s="8" t="s">
        <v>67</v>
      </c>
      <c r="C16" s="8" t="s">
        <v>38</v>
      </c>
      <c r="D16" s="8" t="s">
        <v>49</v>
      </c>
      <c r="E16" s="8" t="s">
        <v>50</v>
      </c>
      <c r="F16" s="8" t="s">
        <v>51</v>
      </c>
      <c r="G16" s="8" t="s">
        <v>52</v>
      </c>
      <c r="H16" s="8" t="s">
        <v>53</v>
      </c>
      <c r="I16" s="8" t="s">
        <v>54</v>
      </c>
    </row>
    <row r="17" spans="1:9">
      <c r="A17" s="6" t="s">
        <v>68</v>
      </c>
      <c r="B17" s="6">
        <v>-114.83515026466341</v>
      </c>
      <c r="C17" s="6">
        <v>78.289964490278209</v>
      </c>
      <c r="D17" s="6">
        <v>-1.4667927238480645</v>
      </c>
      <c r="E17" s="6">
        <v>0.16068774929898919</v>
      </c>
      <c r="F17" s="6">
        <v>-280.01253693426963</v>
      </c>
      <c r="G17" s="6">
        <v>50.342236404942781</v>
      </c>
      <c r="H17" s="6">
        <v>-280.01253693426963</v>
      </c>
      <c r="I17" s="6">
        <v>50.342236404942781</v>
      </c>
    </row>
    <row r="18" spans="1:9">
      <c r="A18" s="6" t="s">
        <v>69</v>
      </c>
      <c r="B18" s="6">
        <v>2.2977118529511121E-3</v>
      </c>
      <c r="C18" s="6">
        <v>9.5192960980377585E-4</v>
      </c>
      <c r="D18" s="6">
        <v>2.4137413410480493</v>
      </c>
      <c r="E18" s="6">
        <v>2.7354838307583666E-2</v>
      </c>
      <c r="F18" s="6">
        <v>2.8931593318631474E-4</v>
      </c>
      <c r="G18" s="6">
        <v>4.3061077727159095E-3</v>
      </c>
      <c r="H18" s="6">
        <v>2.8931593318631474E-4</v>
      </c>
      <c r="I18" s="6">
        <v>4.3061077727159095E-3</v>
      </c>
    </row>
    <row r="19" spans="1:9">
      <c r="A19" s="6" t="s">
        <v>70</v>
      </c>
      <c r="B19" s="6">
        <v>4.2195245732310891</v>
      </c>
      <c r="C19" s="6">
        <v>4.840005896430104</v>
      </c>
      <c r="D19" s="6">
        <v>0.87180153568476637</v>
      </c>
      <c r="E19" s="6">
        <v>0.39546265697215832</v>
      </c>
      <c r="F19" s="6">
        <v>-5.9919952638622522</v>
      </c>
      <c r="G19" s="6">
        <v>14.43104441032443</v>
      </c>
      <c r="H19" s="6">
        <v>-5.9919952638622522</v>
      </c>
      <c r="I19" s="6">
        <v>14.43104441032443</v>
      </c>
    </row>
    <row r="20" spans="1:9" ht="14.4" thickBot="1">
      <c r="A20" s="7" t="s">
        <v>71</v>
      </c>
      <c r="B20" s="7">
        <v>21.42269830379858</v>
      </c>
      <c r="C20" s="7">
        <v>12.736119574983839</v>
      </c>
      <c r="D20" s="7">
        <v>1.6820428057127255</v>
      </c>
      <c r="E20" s="7">
        <v>0.11083654309113829</v>
      </c>
      <c r="F20" s="7">
        <v>-5.4481651766501678</v>
      </c>
      <c r="G20" s="7">
        <v>48.293561784247331</v>
      </c>
      <c r="H20" s="7">
        <v>-5.4481651766501678</v>
      </c>
      <c r="I20" s="7">
        <v>48.293561784247331</v>
      </c>
    </row>
    <row r="22" spans="1:9">
      <c r="A22" t="s">
        <v>60</v>
      </c>
    </row>
    <row r="24" spans="1:9">
      <c r="A24" t="s">
        <v>72</v>
      </c>
      <c r="B24">
        <f>B17+(B18*G6)+(B19*H6)+(B20*I6)</f>
        <v>4717.753923319121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Data</vt:lpstr>
      <vt:lpstr>Regression1</vt:lpstr>
      <vt:lpstr>Eq^n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Undale</dc:creator>
  <cp:lastModifiedBy>Sujal Mehta</cp:lastModifiedBy>
  <dcterms:created xsi:type="dcterms:W3CDTF">2024-04-24T11:39:51Z</dcterms:created>
  <dcterms:modified xsi:type="dcterms:W3CDTF">2024-06-20T08:38:50Z</dcterms:modified>
</cp:coreProperties>
</file>