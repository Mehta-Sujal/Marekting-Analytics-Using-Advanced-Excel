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1"/>
  <workbookPr defaultThemeVersion="166925"/>
  <mc:AlternateContent xmlns:mc="http://schemas.openxmlformats.org/markup-compatibility/2006">
    <mc:Choice Requires="x15">
      <x15ac:absPath xmlns:x15ac="http://schemas.microsoft.com/office/spreadsheetml/2010/11/ac" url="C:\Users\Sujal Mehta\Desktop\College\Second Year\Semester 4\Marketing Analytics\"/>
    </mc:Choice>
  </mc:AlternateContent>
  <xr:revisionPtr revIDLastSave="0" documentId="13_ncr:1_{9DD70E43-3ECD-4982-AD13-3C001D1BA100}" xr6:coauthVersionLast="36" xr6:coauthVersionMax="36" xr10:uidLastSave="{00000000-0000-0000-0000-000000000000}"/>
  <bookViews>
    <workbookView xWindow="0" yWindow="0" windowWidth="23040" windowHeight="8940" activeTab="4" xr2:uid="{E373C82A-34E6-4706-990E-0CC703ABEB64}"/>
  </bookViews>
  <sheets>
    <sheet name="PR7" sheetId="1" r:id="rId1"/>
    <sheet name="PR8" sheetId="2" r:id="rId2"/>
    <sheet name="Practice 7" sheetId="3" r:id="rId3"/>
    <sheet name="Practice 8" sheetId="4" r:id="rId4"/>
    <sheet name="Sheet1" sheetId="5" r:id="rId5"/>
  </sheets>
  <definedNames>
    <definedName name="Cut_Off_Quantity" comment="Cut Off Quantity" localSheetId="0">'PR7'!$C$4</definedName>
    <definedName name="Cut_off_Quantity">'PR8'!$C$4</definedName>
    <definedName name="CutOffQuantity">'Practice 7'!$C$4</definedName>
    <definedName name="High_Price" comment="High Price" localSheetId="0">'PR7'!$D$4</definedName>
    <definedName name="High_Price">'PR8'!$D$4</definedName>
    <definedName name="HighPrice">'Practice 7'!$D$4</definedName>
    <definedName name="Low_Price" comment="Low Price" localSheetId="0">'PR7'!$E$4</definedName>
    <definedName name="Low_Price">'PR8'!$E$4</definedName>
    <definedName name="LowPrice">'Practice 7'!$E$4</definedName>
    <definedName name="solver_adj" localSheetId="0" hidden="1">'PR7'!$C$4:$E$4</definedName>
    <definedName name="solver_adj" localSheetId="1" hidden="1">'PR8'!$C$4:$E$4</definedName>
    <definedName name="solver_adj" localSheetId="2" hidden="1">'Practice 7'!$C$4:$E$4</definedName>
    <definedName name="solver_adj" localSheetId="3" hidden="1">'Practice 8'!$C$4:$E$4</definedName>
    <definedName name="solver_adj" localSheetId="4" hidden="1">Sheet1!$C$2:$E$2</definedName>
    <definedName name="solver_cvg" localSheetId="0" hidden="1">0.0001</definedName>
    <definedName name="solver_cvg" localSheetId="1" hidden="1">0.0001</definedName>
    <definedName name="solver_cvg" localSheetId="2" hidden="1">0.0001</definedName>
    <definedName name="solver_cvg" localSheetId="3" hidden="1">0.0001</definedName>
    <definedName name="solver_cvg" localSheetId="4" hidden="1">0.0001</definedName>
    <definedName name="solver_drv" localSheetId="0" hidden="1">1</definedName>
    <definedName name="solver_drv" localSheetId="1" hidden="1">1</definedName>
    <definedName name="solver_drv" localSheetId="2" hidden="1">1</definedName>
    <definedName name="solver_drv" localSheetId="3" hidden="1">1</definedName>
    <definedName name="solver_drv" localSheetId="4" hidden="1">1</definedName>
    <definedName name="solver_eng" localSheetId="0" hidden="1">3</definedName>
    <definedName name="solver_eng" localSheetId="1" hidden="1">3</definedName>
    <definedName name="solver_eng" localSheetId="2" hidden="1">3</definedName>
    <definedName name="solver_eng" localSheetId="3" hidden="1">3</definedName>
    <definedName name="solver_eng" localSheetId="4" hidden="1">3</definedName>
    <definedName name="solver_est" localSheetId="0" hidden="1">1</definedName>
    <definedName name="solver_est" localSheetId="1" hidden="1">1</definedName>
    <definedName name="solver_est" localSheetId="2" hidden="1">1</definedName>
    <definedName name="solver_est" localSheetId="3" hidden="1">1</definedName>
    <definedName name="solver_est" localSheetId="4" hidden="1">1</definedName>
    <definedName name="solver_itr" localSheetId="0" hidden="1">2147483647</definedName>
    <definedName name="solver_itr" localSheetId="1" hidden="1">2147483647</definedName>
    <definedName name="solver_itr" localSheetId="2" hidden="1">2147483647</definedName>
    <definedName name="solver_itr" localSheetId="3" hidden="1">2147483647</definedName>
    <definedName name="solver_itr" localSheetId="4" hidden="1">2147483647</definedName>
    <definedName name="solver_lhs1" localSheetId="0" hidden="1">'PR7'!$C$4:$E$4</definedName>
    <definedName name="solver_lhs1" localSheetId="1" hidden="1">'PR8'!$C$4:$E$4</definedName>
    <definedName name="solver_lhs1" localSheetId="2" hidden="1">'Practice 7'!$C$4:$E$4</definedName>
    <definedName name="solver_lhs1" localSheetId="3" hidden="1">'Practice 8'!$C$4:$E$4</definedName>
    <definedName name="solver_lhs1" localSheetId="4" hidden="1">Sheet1!$C$2:$E$2</definedName>
    <definedName name="solver_lhs2" localSheetId="0" hidden="1">'PR7'!$C$4:$E$4</definedName>
    <definedName name="solver_lhs2" localSheetId="1" hidden="1">'PR8'!$C$4:$E$4</definedName>
    <definedName name="solver_lhs2" localSheetId="2" hidden="1">'Practice 7'!$C$4:$E$4</definedName>
    <definedName name="solver_lhs2" localSheetId="3" hidden="1">'Practice 8'!$C$4:$E$4</definedName>
    <definedName name="solver_lhs2" localSheetId="4" hidden="1">Sheet1!$C$2:$E$2</definedName>
    <definedName name="solver_lhs3" localSheetId="0" hidden="1">'PR7'!$C$4:$E$4</definedName>
    <definedName name="solver_lhs3" localSheetId="1" hidden="1">'PR8'!$C$4:$E$4</definedName>
    <definedName name="solver_lhs3" localSheetId="2" hidden="1">'Practice 7'!$C$4:$E$4</definedName>
    <definedName name="solver_lhs3" localSheetId="3" hidden="1">'Practice 8'!$C$4:$E$4</definedName>
    <definedName name="solver_lhs3" localSheetId="4" hidden="1">Sheet1!$C$2:$E$2</definedName>
    <definedName name="solver_mip" localSheetId="0" hidden="1">2147483647</definedName>
    <definedName name="solver_mip" localSheetId="1" hidden="1">2147483647</definedName>
    <definedName name="solver_mip" localSheetId="2" hidden="1">2147483647</definedName>
    <definedName name="solver_mip" localSheetId="3" hidden="1">2147483647</definedName>
    <definedName name="solver_mip" localSheetId="4" hidden="1">2147483647</definedName>
    <definedName name="solver_mni" localSheetId="0" hidden="1">30</definedName>
    <definedName name="solver_mni" localSheetId="1" hidden="1">30</definedName>
    <definedName name="solver_mni" localSheetId="2" hidden="1">30</definedName>
    <definedName name="solver_mni" localSheetId="3" hidden="1">30</definedName>
    <definedName name="solver_mni" localSheetId="4" hidden="1">30</definedName>
    <definedName name="solver_mrt" localSheetId="0" hidden="1">0.075</definedName>
    <definedName name="solver_mrt" localSheetId="1" hidden="1">0.075</definedName>
    <definedName name="solver_mrt" localSheetId="2" hidden="1">0.075</definedName>
    <definedName name="solver_mrt" localSheetId="3" hidden="1">0.075</definedName>
    <definedName name="solver_mrt" localSheetId="4" hidden="1">0.075</definedName>
    <definedName name="solver_msl" localSheetId="0" hidden="1">2</definedName>
    <definedName name="solver_msl" localSheetId="1" hidden="1">2</definedName>
    <definedName name="solver_msl" localSheetId="2" hidden="1">2</definedName>
    <definedName name="solver_msl" localSheetId="3" hidden="1">2</definedName>
    <definedName name="solver_msl" localSheetId="4" hidden="1">2</definedName>
    <definedName name="solver_neg" localSheetId="0" hidden="1">1</definedName>
    <definedName name="solver_neg" localSheetId="1" hidden="1">1</definedName>
    <definedName name="solver_neg" localSheetId="2" hidden="1">1</definedName>
    <definedName name="solver_neg" localSheetId="3" hidden="1">1</definedName>
    <definedName name="solver_neg" localSheetId="4" hidden="1">1</definedName>
    <definedName name="solver_nod" localSheetId="0" hidden="1">2147483647</definedName>
    <definedName name="solver_nod" localSheetId="1" hidden="1">2147483647</definedName>
    <definedName name="solver_nod" localSheetId="2" hidden="1">2147483647</definedName>
    <definedName name="solver_nod" localSheetId="3" hidden="1">2147483647</definedName>
    <definedName name="solver_nod" localSheetId="4" hidden="1">2147483647</definedName>
    <definedName name="solver_num" localSheetId="0" hidden="1">3</definedName>
    <definedName name="solver_num" localSheetId="1" hidden="1">3</definedName>
    <definedName name="solver_num" localSheetId="2" hidden="1">3</definedName>
    <definedName name="solver_num" localSheetId="3" hidden="1">3</definedName>
    <definedName name="solver_num" localSheetId="4" hidden="1">3</definedName>
    <definedName name="solver_nwt" localSheetId="0" hidden="1">1</definedName>
    <definedName name="solver_nwt" localSheetId="1" hidden="1">1</definedName>
    <definedName name="solver_nwt" localSheetId="2" hidden="1">1</definedName>
    <definedName name="solver_nwt" localSheetId="3" hidden="1">1</definedName>
    <definedName name="solver_nwt" localSheetId="4" hidden="1">1</definedName>
    <definedName name="solver_opt" localSheetId="0" hidden="1">'PR7'!$J$4</definedName>
    <definedName name="solver_opt" localSheetId="1" hidden="1">'PR8'!$J$4</definedName>
    <definedName name="solver_opt" localSheetId="2" hidden="1">'Practice 7'!$J$4</definedName>
    <definedName name="solver_opt" localSheetId="3" hidden="1">'Practice 8'!$J$4</definedName>
    <definedName name="solver_opt" localSheetId="4" hidden="1">Sheet1!$J$2</definedName>
    <definedName name="solver_pre" localSheetId="0" hidden="1">0.000001</definedName>
    <definedName name="solver_pre" localSheetId="1" hidden="1">0.000001</definedName>
    <definedName name="solver_pre" localSheetId="2" hidden="1">0.000001</definedName>
    <definedName name="solver_pre" localSheetId="3" hidden="1">0.000001</definedName>
    <definedName name="solver_pre" localSheetId="4" hidden="1">0.000001</definedName>
    <definedName name="solver_rbv" localSheetId="0" hidden="1">1</definedName>
    <definedName name="solver_rbv" localSheetId="1" hidden="1">1</definedName>
    <definedName name="solver_rbv" localSheetId="2" hidden="1">1</definedName>
    <definedName name="solver_rbv" localSheetId="3" hidden="1">1</definedName>
    <definedName name="solver_rbv" localSheetId="4" hidden="1">1</definedName>
    <definedName name="solver_rel1" localSheetId="0" hidden="1">1</definedName>
    <definedName name="solver_rel1" localSheetId="1" hidden="1">1</definedName>
    <definedName name="solver_rel1" localSheetId="2" hidden="1">1</definedName>
    <definedName name="solver_rel1" localSheetId="3" hidden="1">1</definedName>
    <definedName name="solver_rel1" localSheetId="4" hidden="1">1</definedName>
    <definedName name="solver_rel2" localSheetId="0" hidden="1">4</definedName>
    <definedName name="solver_rel2" localSheetId="1" hidden="1">4</definedName>
    <definedName name="solver_rel2" localSheetId="2" hidden="1">4</definedName>
    <definedName name="solver_rel2" localSheetId="3" hidden="1">4</definedName>
    <definedName name="solver_rel2" localSheetId="4" hidden="1">4</definedName>
    <definedName name="solver_rel3" localSheetId="0" hidden="1">3</definedName>
    <definedName name="solver_rel3" localSheetId="1" hidden="1">3</definedName>
    <definedName name="solver_rel3" localSheetId="2" hidden="1">3</definedName>
    <definedName name="solver_rel3" localSheetId="3" hidden="1">3</definedName>
    <definedName name="solver_rel3" localSheetId="4" hidden="1">3</definedName>
    <definedName name="solver_rhs1" localSheetId="0" hidden="1">20</definedName>
    <definedName name="solver_rhs1" localSheetId="1" hidden="1">20</definedName>
    <definedName name="solver_rhs1" localSheetId="2" hidden="1">20</definedName>
    <definedName name="solver_rhs1" localSheetId="3" hidden="1">20</definedName>
    <definedName name="solver_rhs1" localSheetId="4" hidden="1">20</definedName>
    <definedName name="solver_rhs2" localSheetId="0" hidden="1">integer</definedName>
    <definedName name="solver_rhs2" localSheetId="1" hidden="1">integer</definedName>
    <definedName name="solver_rhs2" localSheetId="2" hidden="1">integer</definedName>
    <definedName name="solver_rhs2" localSheetId="3" hidden="1">integer</definedName>
    <definedName name="solver_rhs2" localSheetId="4" hidden="1">integer</definedName>
    <definedName name="solver_rhs3" localSheetId="0" hidden="1">1</definedName>
    <definedName name="solver_rhs3" localSheetId="1" hidden="1">1</definedName>
    <definedName name="solver_rhs3" localSheetId="2" hidden="1">1</definedName>
    <definedName name="solver_rhs3" localSheetId="3" hidden="1">1</definedName>
    <definedName name="solver_rhs3" localSheetId="4" hidden="1">1</definedName>
    <definedName name="solver_rlx" localSheetId="0" hidden="1">2</definedName>
    <definedName name="solver_rlx" localSheetId="1" hidden="1">2</definedName>
    <definedName name="solver_rlx" localSheetId="2" hidden="1">2</definedName>
    <definedName name="solver_rlx" localSheetId="3" hidden="1">2</definedName>
    <definedName name="solver_rlx" localSheetId="4" hidden="1">2</definedName>
    <definedName name="solver_rsd" localSheetId="0" hidden="1">0</definedName>
    <definedName name="solver_rsd" localSheetId="1" hidden="1">0</definedName>
    <definedName name="solver_rsd" localSheetId="2" hidden="1">0</definedName>
    <definedName name="solver_rsd" localSheetId="3" hidden="1">0</definedName>
    <definedName name="solver_rsd" localSheetId="4" hidden="1">0</definedName>
    <definedName name="solver_scl" localSheetId="0" hidden="1">1</definedName>
    <definedName name="solver_scl" localSheetId="1" hidden="1">1</definedName>
    <definedName name="solver_scl" localSheetId="2" hidden="1">1</definedName>
    <definedName name="solver_scl" localSheetId="3" hidden="1">1</definedName>
    <definedName name="solver_scl" localSheetId="4" hidden="1">1</definedName>
    <definedName name="solver_sho" localSheetId="0" hidden="1">2</definedName>
    <definedName name="solver_sho" localSheetId="1" hidden="1">2</definedName>
    <definedName name="solver_sho" localSheetId="2" hidden="1">2</definedName>
    <definedName name="solver_sho" localSheetId="3" hidden="1">2</definedName>
    <definedName name="solver_sho" localSheetId="4" hidden="1">2</definedName>
    <definedName name="solver_ssz" localSheetId="0" hidden="1">100</definedName>
    <definedName name="solver_ssz" localSheetId="1" hidden="1">100</definedName>
    <definedName name="solver_ssz" localSheetId="2" hidden="1">100</definedName>
    <definedName name="solver_ssz" localSheetId="3" hidden="1">100</definedName>
    <definedName name="solver_ssz" localSheetId="4" hidden="1">100</definedName>
    <definedName name="solver_tim" localSheetId="0" hidden="1">2147483647</definedName>
    <definedName name="solver_tim" localSheetId="1" hidden="1">2147483647</definedName>
    <definedName name="solver_tim" localSheetId="2" hidden="1">2147483647</definedName>
    <definedName name="solver_tim" localSheetId="3" hidden="1">2147483647</definedName>
    <definedName name="solver_tim" localSheetId="4" hidden="1">2147483647</definedName>
    <definedName name="solver_tol" localSheetId="0" hidden="1">0.01</definedName>
    <definedName name="solver_tol" localSheetId="1" hidden="1">0.01</definedName>
    <definedName name="solver_tol" localSheetId="2" hidden="1">0.01</definedName>
    <definedName name="solver_tol" localSheetId="3" hidden="1">0.01</definedName>
    <definedName name="solver_tol" localSheetId="4" hidden="1">0.01</definedName>
    <definedName name="solver_typ" localSheetId="0" hidden="1">1</definedName>
    <definedName name="solver_typ" localSheetId="1" hidden="1">1</definedName>
    <definedName name="solver_typ" localSheetId="2" hidden="1">1</definedName>
    <definedName name="solver_typ" localSheetId="3" hidden="1">1</definedName>
    <definedName name="solver_typ" localSheetId="4" hidden="1">1</definedName>
    <definedName name="solver_val" localSheetId="0" hidden="1">0</definedName>
    <definedName name="solver_val" localSheetId="1" hidden="1">0</definedName>
    <definedName name="solver_val" localSheetId="2" hidden="1">0</definedName>
    <definedName name="solver_val" localSheetId="3" hidden="1">0</definedName>
    <definedName name="solver_val" localSheetId="4" hidden="1">0</definedName>
    <definedName name="solver_ver" localSheetId="0" hidden="1">3</definedName>
    <definedName name="solver_ver" localSheetId="1" hidden="1">3</definedName>
    <definedName name="solver_ver" localSheetId="2" hidden="1">3</definedName>
    <definedName name="solver_ver" localSheetId="3" hidden="1">3</definedName>
    <definedName name="solver_ver" localSheetId="4" hidden="1">3</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6" i="5" l="1"/>
  <c r="F6" i="5" s="1"/>
  <c r="E7" i="5"/>
  <c r="F7" i="5" s="1"/>
  <c r="E8" i="5"/>
  <c r="F8" i="5" s="1"/>
  <c r="E9" i="5"/>
  <c r="F9" i="5" s="1"/>
  <c r="E10" i="5"/>
  <c r="F10" i="5" s="1"/>
  <c r="E11" i="5"/>
  <c r="F11" i="5" s="1"/>
  <c r="E12" i="5"/>
  <c r="F12" i="5" s="1"/>
  <c r="E13" i="5"/>
  <c r="F13" i="5" s="1"/>
  <c r="E14" i="5"/>
  <c r="F14" i="5" s="1"/>
  <c r="E15" i="5"/>
  <c r="F15" i="5" s="1"/>
  <c r="E16" i="5"/>
  <c r="F16" i="5" s="1"/>
  <c r="E17" i="5"/>
  <c r="F17" i="5" s="1"/>
  <c r="E18" i="5"/>
  <c r="F18" i="5" s="1"/>
  <c r="E19" i="5"/>
  <c r="F19" i="5" s="1"/>
  <c r="E20" i="5"/>
  <c r="F20" i="5" s="1"/>
  <c r="E21" i="5"/>
  <c r="F21" i="5" s="1"/>
  <c r="E22" i="5"/>
  <c r="F22" i="5" s="1"/>
  <c r="E23" i="5"/>
  <c r="F23" i="5" s="1"/>
  <c r="E24" i="5"/>
  <c r="F24" i="5" s="1"/>
  <c r="E5" i="5"/>
  <c r="F5" i="5" s="1"/>
  <c r="D7" i="5"/>
  <c r="D8" i="5"/>
  <c r="D9" i="5"/>
  <c r="D10" i="5"/>
  <c r="D11" i="5"/>
  <c r="D12" i="5"/>
  <c r="D13" i="5"/>
  <c r="D14" i="5"/>
  <c r="D15" i="5"/>
  <c r="D16" i="5" s="1"/>
  <c r="D17" i="5" s="1"/>
  <c r="D18" i="5" s="1"/>
  <c r="D19" i="5" s="1"/>
  <c r="D20" i="5" s="1"/>
  <c r="D21" i="5" s="1"/>
  <c r="D22" i="5" s="1"/>
  <c r="D23" i="5" s="1"/>
  <c r="D24" i="5" s="1"/>
  <c r="D6" i="5"/>
  <c r="D5" i="5"/>
  <c r="C6" i="5"/>
  <c r="C7" i="5"/>
  <c r="C8" i="5"/>
  <c r="C9" i="5"/>
  <c r="C10" i="5"/>
  <c r="C11" i="5"/>
  <c r="C12" i="5"/>
  <c r="C13" i="5"/>
  <c r="C14" i="5"/>
  <c r="C15" i="5"/>
  <c r="C16" i="5"/>
  <c r="C17" i="5"/>
  <c r="C18" i="5"/>
  <c r="C19" i="5"/>
  <c r="C20" i="5"/>
  <c r="C21" i="5"/>
  <c r="C22" i="5"/>
  <c r="C23" i="5"/>
  <c r="C24" i="5"/>
  <c r="C5" i="5"/>
  <c r="L2" i="5" l="1"/>
  <c r="G2" i="5" s="1"/>
  <c r="I2" i="5" s="1"/>
  <c r="C8" i="4"/>
  <c r="C9" i="4"/>
  <c r="C10" i="4"/>
  <c r="C11" i="4"/>
  <c r="C12" i="4"/>
  <c r="C13" i="4"/>
  <c r="C14" i="4"/>
  <c r="C15" i="4"/>
  <c r="C16" i="4"/>
  <c r="C17" i="4"/>
  <c r="C18" i="4"/>
  <c r="C19" i="4"/>
  <c r="C20" i="4"/>
  <c r="C21" i="4"/>
  <c r="C22" i="4"/>
  <c r="C23" i="4"/>
  <c r="C24" i="4"/>
  <c r="C25" i="4"/>
  <c r="C26" i="4"/>
  <c r="C7" i="4"/>
  <c r="H2" i="5" l="1"/>
  <c r="J2" i="5" s="1"/>
  <c r="H4" i="3"/>
  <c r="G4" i="3"/>
  <c r="E8" i="4"/>
  <c r="E9" i="4"/>
  <c r="E10" i="4"/>
  <c r="E11" i="4"/>
  <c r="E12" i="4"/>
  <c r="E13" i="4"/>
  <c r="E14" i="4"/>
  <c r="E15" i="4"/>
  <c r="E16" i="4"/>
  <c r="E17" i="4"/>
  <c r="E18" i="4"/>
  <c r="E19" i="4"/>
  <c r="E20" i="4"/>
  <c r="E21" i="4"/>
  <c r="E22" i="4"/>
  <c r="E23" i="4"/>
  <c r="E24" i="4"/>
  <c r="E25" i="4"/>
  <c r="E26" i="4"/>
  <c r="E7" i="4"/>
  <c r="F7" i="4" s="1"/>
  <c r="D8" i="4"/>
  <c r="D9" i="4" s="1"/>
  <c r="D10" i="4" s="1"/>
  <c r="D11" i="4" s="1"/>
  <c r="D12" i="4" s="1"/>
  <c r="D13" i="4" s="1"/>
  <c r="D14" i="4" s="1"/>
  <c r="D15" i="4" s="1"/>
  <c r="D16" i="4" s="1"/>
  <c r="D17" i="4" s="1"/>
  <c r="D18" i="4" s="1"/>
  <c r="D19" i="4" s="1"/>
  <c r="D20" i="4" s="1"/>
  <c r="D21" i="4" s="1"/>
  <c r="D22" i="4" s="1"/>
  <c r="D23" i="4" s="1"/>
  <c r="D24" i="4" s="1"/>
  <c r="D25" i="4" s="1"/>
  <c r="D26" i="4" s="1"/>
  <c r="D7" i="4"/>
  <c r="E8" i="3"/>
  <c r="F8" i="3" s="1"/>
  <c r="E9" i="3"/>
  <c r="F9" i="3" s="1"/>
  <c r="E10" i="3"/>
  <c r="F10" i="3" s="1"/>
  <c r="E11" i="3"/>
  <c r="F11" i="3" s="1"/>
  <c r="E12" i="3"/>
  <c r="F12" i="3" s="1"/>
  <c r="E13" i="3"/>
  <c r="F13" i="3" s="1"/>
  <c r="E14" i="3"/>
  <c r="F14" i="3" s="1"/>
  <c r="E15" i="3"/>
  <c r="F15" i="3" s="1"/>
  <c r="E16" i="3"/>
  <c r="F16" i="3" s="1"/>
  <c r="E17" i="3"/>
  <c r="F17" i="3" s="1"/>
  <c r="E18" i="3"/>
  <c r="F18" i="3" s="1"/>
  <c r="E19" i="3"/>
  <c r="F19" i="3" s="1"/>
  <c r="E20" i="3"/>
  <c r="F20" i="3" s="1"/>
  <c r="E21" i="3"/>
  <c r="F21" i="3" s="1"/>
  <c r="E22" i="3"/>
  <c r="F22" i="3" s="1"/>
  <c r="E23" i="3"/>
  <c r="F23" i="3" s="1"/>
  <c r="E24" i="3"/>
  <c r="F24" i="3" s="1"/>
  <c r="E25" i="3"/>
  <c r="F25" i="3" s="1"/>
  <c r="E26" i="3"/>
  <c r="F26" i="3" s="1"/>
  <c r="E7" i="3"/>
  <c r="F7" i="3" s="1"/>
  <c r="D9" i="3"/>
  <c r="D10" i="3"/>
  <c r="D11" i="3" s="1"/>
  <c r="D12" i="3" s="1"/>
  <c r="D13" i="3" s="1"/>
  <c r="D14" i="3" s="1"/>
  <c r="D15" i="3" s="1"/>
  <c r="D16" i="3" s="1"/>
  <c r="D17" i="3" s="1"/>
  <c r="D18" i="3" s="1"/>
  <c r="D19" i="3" s="1"/>
  <c r="D20" i="3" s="1"/>
  <c r="D21" i="3" s="1"/>
  <c r="D22" i="3" s="1"/>
  <c r="D23" i="3" s="1"/>
  <c r="D24" i="3" s="1"/>
  <c r="D25" i="3" s="1"/>
  <c r="D26" i="3" s="1"/>
  <c r="D8" i="3"/>
  <c r="D7" i="3"/>
  <c r="C8" i="3"/>
  <c r="C9" i="3"/>
  <c r="C10" i="3"/>
  <c r="C11" i="3"/>
  <c r="C12" i="3"/>
  <c r="C13" i="3"/>
  <c r="C14" i="3"/>
  <c r="C15" i="3"/>
  <c r="C16" i="3"/>
  <c r="C17" i="3"/>
  <c r="C18" i="3"/>
  <c r="C19" i="3"/>
  <c r="C20" i="3"/>
  <c r="C21" i="3"/>
  <c r="C22" i="3"/>
  <c r="C23" i="3"/>
  <c r="C24" i="3"/>
  <c r="C25" i="3"/>
  <c r="C26" i="3"/>
  <c r="C7" i="3"/>
  <c r="F13" i="4" l="1"/>
  <c r="F20" i="4"/>
  <c r="F12" i="4"/>
  <c r="F11" i="4"/>
  <c r="F10" i="4"/>
  <c r="F25" i="4"/>
  <c r="F9" i="4"/>
  <c r="L4" i="4" s="1"/>
  <c r="G4" i="4" s="1"/>
  <c r="I4" i="4" s="1"/>
  <c r="F24" i="4"/>
  <c r="F16" i="4"/>
  <c r="F8" i="4"/>
  <c r="F19" i="4"/>
  <c r="F26" i="4"/>
  <c r="F18" i="4"/>
  <c r="F17" i="4"/>
  <c r="F23" i="4"/>
  <c r="F15" i="4"/>
  <c r="F21" i="4"/>
  <c r="F22" i="4"/>
  <c r="F14" i="4"/>
  <c r="L4" i="3"/>
  <c r="E8" i="2"/>
  <c r="E9" i="2"/>
  <c r="E10" i="2"/>
  <c r="E11" i="2"/>
  <c r="E12" i="2"/>
  <c r="E13" i="2"/>
  <c r="E14" i="2"/>
  <c r="E15" i="2"/>
  <c r="E16" i="2"/>
  <c r="E17" i="2"/>
  <c r="E18" i="2"/>
  <c r="E19" i="2"/>
  <c r="E20" i="2"/>
  <c r="E21" i="2"/>
  <c r="E22" i="2"/>
  <c r="E23" i="2"/>
  <c r="E24" i="2"/>
  <c r="E25" i="2"/>
  <c r="E26" i="2"/>
  <c r="E7" i="2"/>
  <c r="H4" i="4" l="1"/>
  <c r="J4" i="4" s="1"/>
  <c r="I4" i="3"/>
  <c r="J4" i="3" s="1"/>
  <c r="H4" i="1"/>
  <c r="G4" i="1"/>
  <c r="F8" i="2" l="1"/>
  <c r="F9" i="2"/>
  <c r="F10" i="2"/>
  <c r="F11" i="2"/>
  <c r="F12" i="2"/>
  <c r="F13" i="2"/>
  <c r="F14" i="2"/>
  <c r="F15" i="2"/>
  <c r="F16" i="2"/>
  <c r="F17" i="2"/>
  <c r="F18" i="2"/>
  <c r="F19" i="2"/>
  <c r="F20" i="2"/>
  <c r="F21" i="2"/>
  <c r="F22" i="2"/>
  <c r="F23" i="2"/>
  <c r="F24" i="2"/>
  <c r="F25" i="2"/>
  <c r="F26" i="2"/>
  <c r="F7" i="2"/>
  <c r="D9" i="2"/>
  <c r="D10" i="2"/>
  <c r="D11" i="2" s="1"/>
  <c r="D12" i="2" s="1"/>
  <c r="D13" i="2" s="1"/>
  <c r="D14" i="2" s="1"/>
  <c r="D15" i="2" s="1"/>
  <c r="D16" i="2" s="1"/>
  <c r="D17" i="2" s="1"/>
  <c r="D18" i="2" s="1"/>
  <c r="D19" i="2" s="1"/>
  <c r="D20" i="2" s="1"/>
  <c r="D21" i="2" s="1"/>
  <c r="D22" i="2" s="1"/>
  <c r="D23" i="2" s="1"/>
  <c r="D24" i="2" s="1"/>
  <c r="D25" i="2" s="1"/>
  <c r="D26" i="2" s="1"/>
  <c r="D8" i="2"/>
  <c r="D7" i="2"/>
  <c r="C8" i="2"/>
  <c r="C9" i="2"/>
  <c r="C10" i="2"/>
  <c r="C11" i="2"/>
  <c r="C12" i="2"/>
  <c r="C13" i="2"/>
  <c r="C14" i="2"/>
  <c r="C15" i="2"/>
  <c r="C16" i="2"/>
  <c r="C17" i="2"/>
  <c r="C18" i="2"/>
  <c r="C19" i="2"/>
  <c r="C20" i="2"/>
  <c r="C21" i="2"/>
  <c r="C22" i="2"/>
  <c r="C23" i="2"/>
  <c r="C24" i="2"/>
  <c r="C25" i="2"/>
  <c r="C26" i="2"/>
  <c r="C7" i="2"/>
  <c r="L4" i="2" l="1"/>
  <c r="G4" i="2" s="1"/>
  <c r="H4" i="2" s="1"/>
  <c r="E8" i="1"/>
  <c r="E9" i="1"/>
  <c r="E10" i="1"/>
  <c r="E11" i="1"/>
  <c r="E12" i="1"/>
  <c r="E13" i="1"/>
  <c r="E14" i="1"/>
  <c r="E15" i="1"/>
  <c r="E16" i="1"/>
  <c r="E17" i="1"/>
  <c r="E18" i="1"/>
  <c r="E19" i="1"/>
  <c r="E20" i="1"/>
  <c r="E21" i="1"/>
  <c r="E22" i="1"/>
  <c r="E23" i="1"/>
  <c r="E24" i="1"/>
  <c r="E25" i="1"/>
  <c r="E26" i="1"/>
  <c r="E7" i="1"/>
  <c r="I4" i="2" l="1"/>
  <c r="J4" i="2" s="1"/>
  <c r="C8" i="1"/>
  <c r="C9" i="1"/>
  <c r="C10" i="1"/>
  <c r="C11" i="1"/>
  <c r="C12" i="1"/>
  <c r="C13" i="1"/>
  <c r="C14" i="1"/>
  <c r="C15" i="1"/>
  <c r="C16" i="1"/>
  <c r="C17" i="1"/>
  <c r="C18" i="1"/>
  <c r="C19" i="1"/>
  <c r="C20" i="1"/>
  <c r="C21" i="1"/>
  <c r="C22" i="1"/>
  <c r="C23" i="1"/>
  <c r="C24" i="1"/>
  <c r="C25" i="1"/>
  <c r="C26" i="1"/>
  <c r="C7" i="1"/>
  <c r="D7" i="1" s="1"/>
  <c r="D8" i="1" l="1"/>
  <c r="F7" i="1"/>
  <c r="F8" i="1" l="1"/>
  <c r="D9" i="1"/>
  <c r="F9" i="1" l="1"/>
  <c r="D10" i="1"/>
  <c r="D11" i="1" l="1"/>
  <c r="F10" i="1"/>
  <c r="D12" i="1" l="1"/>
  <c r="F11" i="1"/>
  <c r="D13" i="1" l="1"/>
  <c r="F12" i="1"/>
  <c r="F13" i="1" l="1"/>
  <c r="D14" i="1"/>
  <c r="D15" i="1" l="1"/>
  <c r="F14" i="1"/>
  <c r="D16" i="1" l="1"/>
  <c r="F15" i="1"/>
  <c r="D17" i="1" l="1"/>
  <c r="F16" i="1"/>
  <c r="D18" i="1" l="1"/>
  <c r="F17" i="1"/>
  <c r="D19" i="1" l="1"/>
  <c r="F18" i="1"/>
  <c r="D20" i="1" l="1"/>
  <c r="F19" i="1"/>
  <c r="D21" i="1" l="1"/>
  <c r="F20" i="1"/>
  <c r="D22" i="1" l="1"/>
  <c r="F21" i="1"/>
  <c r="D23" i="1" l="1"/>
  <c r="F22" i="1"/>
  <c r="D24" i="1" l="1"/>
  <c r="F23" i="1"/>
  <c r="D25" i="1" l="1"/>
  <c r="F24" i="1"/>
  <c r="D26" i="1" l="1"/>
  <c r="F26" i="1" s="1"/>
  <c r="F25" i="1"/>
  <c r="L4" i="1" l="1"/>
  <c r="I4" i="1" l="1"/>
  <c r="J4" i="1" l="1"/>
</calcChain>
</file>

<file path=xl/sharedStrings.xml><?xml version="1.0" encoding="utf-8"?>
<sst xmlns="http://schemas.openxmlformats.org/spreadsheetml/2006/main" count="79" uniqueCount="27">
  <si>
    <t>Mahavitaran', a power supply company of state of Maharashtra wants to determine how to maximize the profit earned from a customer whose demand in kilowatt hours (kwh) for power is given by q=20-2p. It costs Rs. 2 to produce a unit of power. Assume that currently 'Mahavitaran' use linear pricing that is charging same price for each unit sold. You are required to find out how 'Mahavitaran' can maximize profit by using 'Non Linear - Standard Quantity Discount' pricing.</t>
  </si>
  <si>
    <t>Cost</t>
  </si>
  <si>
    <t>Units</t>
  </si>
  <si>
    <t>Value (p)</t>
  </si>
  <si>
    <t>Cumulative Value</t>
  </si>
  <si>
    <t>Price Paid</t>
  </si>
  <si>
    <t>Consumer Surplus</t>
  </si>
  <si>
    <t>MidPoint (q)</t>
  </si>
  <si>
    <t>Cut Off Quantity</t>
  </si>
  <si>
    <t>High Price</t>
  </si>
  <si>
    <t>Low Price</t>
  </si>
  <si>
    <t>Unit Purchased</t>
  </si>
  <si>
    <t>Revenue</t>
  </si>
  <si>
    <t>Total Production Cost</t>
  </si>
  <si>
    <t>Max Surplus</t>
  </si>
  <si>
    <t>Profit</t>
  </si>
  <si>
    <t>Values (p)</t>
  </si>
  <si>
    <t>Cumulative Values</t>
  </si>
  <si>
    <t>Surplus</t>
  </si>
  <si>
    <t>Units Purchased</t>
  </si>
  <si>
    <t>MidPoints (Q)</t>
  </si>
  <si>
    <t>Values (P)</t>
  </si>
  <si>
    <t>Cum Values</t>
  </si>
  <si>
    <t>Cut off Quantity</t>
  </si>
  <si>
    <t>Total Cost</t>
  </si>
  <si>
    <t xml:space="preserve">Cost </t>
  </si>
  <si>
    <t>Prices Paid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</si>
</sst>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theme="1"/>
      <name val="Calibri"/>
      <family val="2"/>
      <scheme val="minor"/>
    </font>
    <font>
      <b/>
      <sz val="11"/>
      <color theme="1"/>
      <name val="Calibri"/>
      <family val="2"/>
      <scheme val="minor"/>
    </font>
  </fonts>
  <fills count="2">
    <fill>
      <patternFill patternType="none"/>
    </fill>
    <fill>
      <patternFill patternType="gray125"/>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s>
  <cellStyleXfs count="1">
    <xf numFmtId="0" fontId="0" fillId="0" borderId="0"/>
  </cellStyleXfs>
  <cellXfs count="13">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1" fillId="0" borderId="1" xfId="0" applyFont="1" applyBorder="1" applyAlignment="1">
      <alignment horizontal="center"/>
    </xf>
    <xf numFmtId="0" fontId="2"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AA632-0E6F-4F20-9FEA-C9C9CB969747}">
  <dimension ref="A1:AW26"/>
  <sheetViews>
    <sheetView topLeftCell="A13" workbookViewId="0">
      <selection activeCell="I12" sqref="I12"/>
    </sheetView>
  </sheetViews>
  <sheetFormatPr defaultRowHeight="14.4" x14ac:dyDescent="0.3"/>
  <cols>
    <col min="1" max="1" width="10.88671875" bestFit="1" customWidth="1"/>
    <col min="2" max="2" width="5.21875" bestFit="1" customWidth="1"/>
    <col min="3" max="3" width="14.44140625" bestFit="1" customWidth="1"/>
    <col min="4" max="4" width="15.21875" bestFit="1" customWidth="1"/>
    <col min="6" max="6" width="15.5546875" bestFit="1" customWidth="1"/>
    <col min="7" max="7" width="13.33203125" bestFit="1" customWidth="1"/>
    <col min="8" max="8" width="8" bestFit="1" customWidth="1"/>
    <col min="9" max="9" width="18.88671875" bestFit="1" customWidth="1"/>
    <col min="11" max="12" width="10.77734375" bestFit="1" customWidth="1"/>
  </cols>
  <sheetData>
    <row r="1" spans="1:49" ht="15.6" x14ac:dyDescent="0.3">
      <c r="A1" s="11" t="s">
        <v>0</v>
      </c>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row>
    <row r="3" spans="1:49" x14ac:dyDescent="0.3">
      <c r="A3" s="1" t="s">
        <v>1</v>
      </c>
      <c r="C3" s="1" t="s">
        <v>8</v>
      </c>
      <c r="D3" s="1" t="s">
        <v>9</v>
      </c>
      <c r="E3" s="1" t="s">
        <v>10</v>
      </c>
      <c r="G3" s="1" t="s">
        <v>11</v>
      </c>
      <c r="H3" s="1" t="s">
        <v>12</v>
      </c>
      <c r="I3" s="1" t="s">
        <v>13</v>
      </c>
      <c r="J3" s="1" t="s">
        <v>15</v>
      </c>
      <c r="L3" s="1" t="s">
        <v>14</v>
      </c>
    </row>
    <row r="4" spans="1:49" x14ac:dyDescent="0.3">
      <c r="A4" s="1">
        <v>2</v>
      </c>
      <c r="C4" s="1">
        <v>7</v>
      </c>
      <c r="D4" s="1">
        <v>11</v>
      </c>
      <c r="E4" s="1">
        <v>2</v>
      </c>
      <c r="G4" s="1">
        <f>IF(L4&gt;0,MATCH(L4,F7:F26,0),0)</f>
        <v>16</v>
      </c>
      <c r="H4" s="1">
        <f>VLOOKUP(G4,B6:E26,4,FALSE)</f>
        <v>95</v>
      </c>
      <c r="I4" s="1">
        <f>G4*A4</f>
        <v>32</v>
      </c>
      <c r="J4" s="1">
        <f>H4-I4</f>
        <v>63</v>
      </c>
      <c r="L4" s="1">
        <f>MAX(F7:F26)</f>
        <v>1</v>
      </c>
    </row>
    <row r="6" spans="1:49" x14ac:dyDescent="0.3">
      <c r="A6" s="1" t="s">
        <v>7</v>
      </c>
      <c r="B6" s="1" t="s">
        <v>2</v>
      </c>
      <c r="C6" s="1" t="s">
        <v>3</v>
      </c>
      <c r="D6" s="1" t="s">
        <v>4</v>
      </c>
      <c r="E6" s="1" t="s">
        <v>5</v>
      </c>
      <c r="F6" s="1" t="s">
        <v>6</v>
      </c>
    </row>
    <row r="7" spans="1:49" x14ac:dyDescent="0.3">
      <c r="A7" s="2">
        <v>0.5</v>
      </c>
      <c r="B7" s="4">
        <v>1</v>
      </c>
      <c r="C7" s="4">
        <f>10-0.5*A7</f>
        <v>9.75</v>
      </c>
      <c r="D7" s="4">
        <f>C7</f>
        <v>9.75</v>
      </c>
      <c r="E7" s="4">
        <f t="shared" ref="E7:E26" si="0">IF(B7&lt;=Cut_Off_Quantity,B7*High_Price,Cut_Off_Quantity*High_Price+(B7-Cut_Off_Quantity)*Low_Price)</f>
        <v>11</v>
      </c>
      <c r="F7" s="4">
        <f>D7-E7</f>
        <v>-1.25</v>
      </c>
    </row>
    <row r="8" spans="1:49" x14ac:dyDescent="0.3">
      <c r="A8" s="3">
        <v>1.5</v>
      </c>
      <c r="B8" s="5">
        <v>2</v>
      </c>
      <c r="C8" s="5">
        <f t="shared" ref="C8:C26" si="1">10-0.5*A8</f>
        <v>9.25</v>
      </c>
      <c r="D8" s="5">
        <f>D7+C8</f>
        <v>19</v>
      </c>
      <c r="E8" s="5">
        <f t="shared" si="0"/>
        <v>22</v>
      </c>
      <c r="F8" s="5">
        <f t="shared" ref="F8:F26" si="2">D8-E8</f>
        <v>-3</v>
      </c>
    </row>
    <row r="9" spans="1:49" x14ac:dyDescent="0.3">
      <c r="A9" s="3">
        <v>2.5</v>
      </c>
      <c r="B9" s="5">
        <v>3</v>
      </c>
      <c r="C9" s="5">
        <f t="shared" si="1"/>
        <v>8.75</v>
      </c>
      <c r="D9" s="5">
        <f>D8+C9</f>
        <v>27.75</v>
      </c>
      <c r="E9" s="5">
        <f t="shared" si="0"/>
        <v>33</v>
      </c>
      <c r="F9" s="5">
        <f t="shared" si="2"/>
        <v>-5.25</v>
      </c>
    </row>
    <row r="10" spans="1:49" x14ac:dyDescent="0.3">
      <c r="A10" s="3">
        <v>3.5</v>
      </c>
      <c r="B10" s="5">
        <v>4</v>
      </c>
      <c r="C10" s="5">
        <f t="shared" si="1"/>
        <v>8.25</v>
      </c>
      <c r="D10" s="5">
        <f t="shared" ref="D10:D26" si="3">D9+C10</f>
        <v>36</v>
      </c>
      <c r="E10" s="5">
        <f t="shared" si="0"/>
        <v>44</v>
      </c>
      <c r="F10" s="5">
        <f t="shared" si="2"/>
        <v>-8</v>
      </c>
    </row>
    <row r="11" spans="1:49" x14ac:dyDescent="0.3">
      <c r="A11" s="3">
        <v>4.5</v>
      </c>
      <c r="B11" s="5">
        <v>5</v>
      </c>
      <c r="C11" s="5">
        <f t="shared" si="1"/>
        <v>7.75</v>
      </c>
      <c r="D11" s="5">
        <f t="shared" si="3"/>
        <v>43.75</v>
      </c>
      <c r="E11" s="5">
        <f t="shared" si="0"/>
        <v>55</v>
      </c>
      <c r="F11" s="5">
        <f t="shared" si="2"/>
        <v>-11.25</v>
      </c>
    </row>
    <row r="12" spans="1:49" x14ac:dyDescent="0.3">
      <c r="A12" s="3">
        <v>5.5</v>
      </c>
      <c r="B12" s="5">
        <v>6</v>
      </c>
      <c r="C12" s="5">
        <f t="shared" si="1"/>
        <v>7.25</v>
      </c>
      <c r="D12" s="5">
        <f t="shared" si="3"/>
        <v>51</v>
      </c>
      <c r="E12" s="5">
        <f t="shared" si="0"/>
        <v>66</v>
      </c>
      <c r="F12" s="5">
        <f t="shared" si="2"/>
        <v>-15</v>
      </c>
    </row>
    <row r="13" spans="1:49" x14ac:dyDescent="0.3">
      <c r="A13" s="3">
        <v>6.5</v>
      </c>
      <c r="B13" s="5">
        <v>7</v>
      </c>
      <c r="C13" s="5">
        <f t="shared" si="1"/>
        <v>6.75</v>
      </c>
      <c r="D13" s="5">
        <f t="shared" si="3"/>
        <v>57.75</v>
      </c>
      <c r="E13" s="5">
        <f t="shared" si="0"/>
        <v>77</v>
      </c>
      <c r="F13" s="5">
        <f t="shared" si="2"/>
        <v>-19.25</v>
      </c>
    </row>
    <row r="14" spans="1:49" x14ac:dyDescent="0.3">
      <c r="A14" s="3">
        <v>7.5</v>
      </c>
      <c r="B14" s="5">
        <v>8</v>
      </c>
      <c r="C14" s="5">
        <f t="shared" si="1"/>
        <v>6.25</v>
      </c>
      <c r="D14" s="5">
        <f t="shared" si="3"/>
        <v>64</v>
      </c>
      <c r="E14" s="5">
        <f t="shared" si="0"/>
        <v>79</v>
      </c>
      <c r="F14" s="5">
        <f t="shared" si="2"/>
        <v>-15</v>
      </c>
    </row>
    <row r="15" spans="1:49" x14ac:dyDescent="0.3">
      <c r="A15" s="3">
        <v>8.5</v>
      </c>
      <c r="B15" s="5">
        <v>9</v>
      </c>
      <c r="C15" s="5">
        <f t="shared" si="1"/>
        <v>5.75</v>
      </c>
      <c r="D15" s="5">
        <f t="shared" si="3"/>
        <v>69.75</v>
      </c>
      <c r="E15" s="5">
        <f t="shared" si="0"/>
        <v>81</v>
      </c>
      <c r="F15" s="5">
        <f t="shared" si="2"/>
        <v>-11.25</v>
      </c>
    </row>
    <row r="16" spans="1:49" x14ac:dyDescent="0.3">
      <c r="A16" s="3">
        <v>9.5</v>
      </c>
      <c r="B16" s="5">
        <v>10</v>
      </c>
      <c r="C16" s="5">
        <f t="shared" si="1"/>
        <v>5.25</v>
      </c>
      <c r="D16" s="5">
        <f t="shared" si="3"/>
        <v>75</v>
      </c>
      <c r="E16" s="5">
        <f t="shared" si="0"/>
        <v>83</v>
      </c>
      <c r="F16" s="5">
        <f t="shared" si="2"/>
        <v>-8</v>
      </c>
    </row>
    <row r="17" spans="1:6" x14ac:dyDescent="0.3">
      <c r="A17" s="3">
        <v>10.5</v>
      </c>
      <c r="B17" s="5">
        <v>11</v>
      </c>
      <c r="C17" s="5">
        <f t="shared" si="1"/>
        <v>4.75</v>
      </c>
      <c r="D17" s="5">
        <f t="shared" si="3"/>
        <v>79.75</v>
      </c>
      <c r="E17" s="5">
        <f t="shared" si="0"/>
        <v>85</v>
      </c>
      <c r="F17" s="5">
        <f t="shared" si="2"/>
        <v>-5.25</v>
      </c>
    </row>
    <row r="18" spans="1:6" x14ac:dyDescent="0.3">
      <c r="A18" s="3">
        <v>11.5</v>
      </c>
      <c r="B18" s="5">
        <v>12</v>
      </c>
      <c r="C18" s="5">
        <f t="shared" si="1"/>
        <v>4.25</v>
      </c>
      <c r="D18" s="5">
        <f t="shared" si="3"/>
        <v>84</v>
      </c>
      <c r="E18" s="5">
        <f t="shared" si="0"/>
        <v>87</v>
      </c>
      <c r="F18" s="5">
        <f t="shared" si="2"/>
        <v>-3</v>
      </c>
    </row>
    <row r="19" spans="1:6" x14ac:dyDescent="0.3">
      <c r="A19" s="3">
        <v>12.5</v>
      </c>
      <c r="B19" s="5">
        <v>13</v>
      </c>
      <c r="C19" s="5">
        <f t="shared" si="1"/>
        <v>3.75</v>
      </c>
      <c r="D19" s="5">
        <f t="shared" si="3"/>
        <v>87.75</v>
      </c>
      <c r="E19" s="5">
        <f t="shared" si="0"/>
        <v>89</v>
      </c>
      <c r="F19" s="5">
        <f t="shared" si="2"/>
        <v>-1.25</v>
      </c>
    </row>
    <row r="20" spans="1:6" x14ac:dyDescent="0.3">
      <c r="A20" s="3">
        <v>13.5</v>
      </c>
      <c r="B20" s="5">
        <v>14</v>
      </c>
      <c r="C20" s="5">
        <f t="shared" si="1"/>
        <v>3.25</v>
      </c>
      <c r="D20" s="5">
        <f t="shared" si="3"/>
        <v>91</v>
      </c>
      <c r="E20" s="5">
        <f t="shared" si="0"/>
        <v>91</v>
      </c>
      <c r="F20" s="5">
        <f t="shared" si="2"/>
        <v>0</v>
      </c>
    </row>
    <row r="21" spans="1:6" x14ac:dyDescent="0.3">
      <c r="A21" s="3">
        <v>14.5</v>
      </c>
      <c r="B21" s="5">
        <v>15</v>
      </c>
      <c r="C21" s="5">
        <f t="shared" si="1"/>
        <v>2.75</v>
      </c>
      <c r="D21" s="5">
        <f t="shared" si="3"/>
        <v>93.75</v>
      </c>
      <c r="E21" s="5">
        <f t="shared" si="0"/>
        <v>93</v>
      </c>
      <c r="F21" s="5">
        <f t="shared" si="2"/>
        <v>0.75</v>
      </c>
    </row>
    <row r="22" spans="1:6" x14ac:dyDescent="0.3">
      <c r="A22" s="3">
        <v>15.5</v>
      </c>
      <c r="B22" s="5">
        <v>16</v>
      </c>
      <c r="C22" s="5">
        <f t="shared" si="1"/>
        <v>2.25</v>
      </c>
      <c r="D22" s="5">
        <f t="shared" si="3"/>
        <v>96</v>
      </c>
      <c r="E22" s="5">
        <f t="shared" si="0"/>
        <v>95</v>
      </c>
      <c r="F22" s="5">
        <f t="shared" si="2"/>
        <v>1</v>
      </c>
    </row>
    <row r="23" spans="1:6" x14ac:dyDescent="0.3">
      <c r="A23" s="3">
        <v>16.5</v>
      </c>
      <c r="B23" s="5">
        <v>17</v>
      </c>
      <c r="C23" s="5">
        <f t="shared" si="1"/>
        <v>1.75</v>
      </c>
      <c r="D23" s="5">
        <f t="shared" si="3"/>
        <v>97.75</v>
      </c>
      <c r="E23" s="5">
        <f t="shared" si="0"/>
        <v>97</v>
      </c>
      <c r="F23" s="5">
        <f t="shared" si="2"/>
        <v>0.75</v>
      </c>
    </row>
    <row r="24" spans="1:6" x14ac:dyDescent="0.3">
      <c r="A24" s="3">
        <v>17.5</v>
      </c>
      <c r="B24" s="5">
        <v>18</v>
      </c>
      <c r="C24" s="5">
        <f t="shared" si="1"/>
        <v>1.25</v>
      </c>
      <c r="D24" s="5">
        <f t="shared" si="3"/>
        <v>99</v>
      </c>
      <c r="E24" s="5">
        <f t="shared" si="0"/>
        <v>99</v>
      </c>
      <c r="F24" s="5">
        <f t="shared" si="2"/>
        <v>0</v>
      </c>
    </row>
    <row r="25" spans="1:6" x14ac:dyDescent="0.3">
      <c r="A25" s="3">
        <v>18.5</v>
      </c>
      <c r="B25" s="5">
        <v>19</v>
      </c>
      <c r="C25" s="5">
        <f t="shared" si="1"/>
        <v>0.75</v>
      </c>
      <c r="D25" s="5">
        <f t="shared" si="3"/>
        <v>99.75</v>
      </c>
      <c r="E25" s="5">
        <f t="shared" si="0"/>
        <v>101</v>
      </c>
      <c r="F25" s="5">
        <f t="shared" si="2"/>
        <v>-1.25</v>
      </c>
    </row>
    <row r="26" spans="1:6" x14ac:dyDescent="0.3">
      <c r="A26" s="6">
        <v>19.5</v>
      </c>
      <c r="B26" s="7">
        <v>20</v>
      </c>
      <c r="C26" s="7">
        <f t="shared" si="1"/>
        <v>0.25</v>
      </c>
      <c r="D26" s="7">
        <f t="shared" si="3"/>
        <v>100</v>
      </c>
      <c r="E26" s="7">
        <f t="shared" si="0"/>
        <v>103</v>
      </c>
      <c r="F26" s="7">
        <f t="shared" si="2"/>
        <v>-3</v>
      </c>
    </row>
  </sheetData>
  <mergeCells count="1">
    <mergeCell ref="A1:AW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E0ECC-E25E-463D-BDBB-72EDFF61600F}">
  <dimension ref="A1:AW26"/>
  <sheetViews>
    <sheetView workbookViewId="0">
      <selection activeCell="E7" sqref="E7"/>
    </sheetView>
  </sheetViews>
  <sheetFormatPr defaultRowHeight="14.4" x14ac:dyDescent="0.3"/>
  <cols>
    <col min="1" max="1" width="10.88671875" bestFit="1" customWidth="1"/>
    <col min="2" max="2" width="5.21875" bestFit="1" customWidth="1"/>
    <col min="3" max="3" width="14.44140625" bestFit="1" customWidth="1"/>
    <col min="4" max="4" width="16" bestFit="1" customWidth="1"/>
    <col min="6" max="6" width="6.77734375" bestFit="1" customWidth="1"/>
    <col min="7" max="7" width="14.109375" bestFit="1" customWidth="1"/>
    <col min="9" max="9" width="19" bestFit="1" customWidth="1"/>
    <col min="10" max="10" width="5.5546875" bestFit="1" customWidth="1"/>
    <col min="12" max="12" width="10.77734375" bestFit="1" customWidth="1"/>
  </cols>
  <sheetData>
    <row r="1" spans="1:49" ht="15.6" x14ac:dyDescent="0.3">
      <c r="A1" s="11" t="s">
        <v>0</v>
      </c>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row>
    <row r="3" spans="1:49" x14ac:dyDescent="0.3">
      <c r="A3" s="1" t="s">
        <v>1</v>
      </c>
      <c r="C3" s="1" t="s">
        <v>8</v>
      </c>
      <c r="D3" s="1" t="s">
        <v>9</v>
      </c>
      <c r="E3" s="1" t="s">
        <v>10</v>
      </c>
      <c r="G3" s="1" t="s">
        <v>19</v>
      </c>
      <c r="H3" s="1" t="s">
        <v>12</v>
      </c>
      <c r="I3" s="1" t="s">
        <v>13</v>
      </c>
      <c r="J3" s="1" t="s">
        <v>15</v>
      </c>
      <c r="L3" s="1" t="s">
        <v>14</v>
      </c>
    </row>
    <row r="4" spans="1:49" x14ac:dyDescent="0.3">
      <c r="A4" s="1">
        <v>2</v>
      </c>
      <c r="C4" s="1">
        <v>14</v>
      </c>
      <c r="D4" s="1">
        <v>14.999999999999998</v>
      </c>
      <c r="E4" s="1">
        <v>6</v>
      </c>
      <c r="G4" s="1">
        <f>IF(L4&gt;0,MATCH(L4,F7:F26,0),0)</f>
        <v>15</v>
      </c>
      <c r="H4" s="1">
        <f>VLOOKUP(G4,B6:E26,4,FALSE)</f>
        <v>90</v>
      </c>
      <c r="I4" s="1">
        <f>G4*A4</f>
        <v>30</v>
      </c>
      <c r="J4" s="1">
        <f>H4-I4</f>
        <v>60</v>
      </c>
      <c r="L4" s="1">
        <f>MAX(F7:F26)</f>
        <v>3.75</v>
      </c>
    </row>
    <row r="6" spans="1:49" x14ac:dyDescent="0.3">
      <c r="A6" s="1" t="s">
        <v>7</v>
      </c>
      <c r="B6" s="1" t="s">
        <v>2</v>
      </c>
      <c r="C6" s="1" t="s">
        <v>16</v>
      </c>
      <c r="D6" s="1" t="s">
        <v>17</v>
      </c>
      <c r="E6" s="4" t="s">
        <v>5</v>
      </c>
      <c r="F6" s="1" t="s">
        <v>18</v>
      </c>
    </row>
    <row r="7" spans="1:49" x14ac:dyDescent="0.3">
      <c r="A7" s="2">
        <v>0.5</v>
      </c>
      <c r="B7" s="4">
        <v>1</v>
      </c>
      <c r="C7" s="4">
        <f>10-0.5*A7</f>
        <v>9.75</v>
      </c>
      <c r="D7" s="8">
        <f>C7</f>
        <v>9.75</v>
      </c>
      <c r="E7" s="4">
        <f t="shared" ref="E7:E26" si="0">IF(B7&lt;=Cut_off_Quantity,B7*High_Price,B7*Low_Price)</f>
        <v>14.999999999999998</v>
      </c>
      <c r="F7" s="2">
        <f>D7-E7</f>
        <v>-5.2499999999999982</v>
      </c>
    </row>
    <row r="8" spans="1:49" x14ac:dyDescent="0.3">
      <c r="A8" s="3">
        <v>1.5</v>
      </c>
      <c r="B8" s="5">
        <v>2</v>
      </c>
      <c r="C8" s="5">
        <f t="shared" ref="C8:C26" si="1">10-0.5*A8</f>
        <v>9.25</v>
      </c>
      <c r="D8" s="9">
        <f>D7+C8</f>
        <v>19</v>
      </c>
      <c r="E8" s="5">
        <f t="shared" si="0"/>
        <v>29.999999999999996</v>
      </c>
      <c r="F8" s="3">
        <f t="shared" ref="F8:F26" si="2">D8-E8</f>
        <v>-10.999999999999996</v>
      </c>
    </row>
    <row r="9" spans="1:49" x14ac:dyDescent="0.3">
      <c r="A9" s="3">
        <v>2.5</v>
      </c>
      <c r="B9" s="5">
        <v>3</v>
      </c>
      <c r="C9" s="5">
        <f t="shared" si="1"/>
        <v>8.75</v>
      </c>
      <c r="D9" s="9">
        <f t="shared" ref="D9:D26" si="3">D8+C9</f>
        <v>27.75</v>
      </c>
      <c r="E9" s="5">
        <f t="shared" si="0"/>
        <v>44.999999999999993</v>
      </c>
      <c r="F9" s="3">
        <f t="shared" si="2"/>
        <v>-17.249999999999993</v>
      </c>
    </row>
    <row r="10" spans="1:49" x14ac:dyDescent="0.3">
      <c r="A10" s="3">
        <v>3.5</v>
      </c>
      <c r="B10" s="5">
        <v>4</v>
      </c>
      <c r="C10" s="5">
        <f t="shared" si="1"/>
        <v>8.25</v>
      </c>
      <c r="D10" s="9">
        <f t="shared" si="3"/>
        <v>36</v>
      </c>
      <c r="E10" s="5">
        <f t="shared" si="0"/>
        <v>59.999999999999993</v>
      </c>
      <c r="F10" s="3">
        <f t="shared" si="2"/>
        <v>-23.999999999999993</v>
      </c>
    </row>
    <row r="11" spans="1:49" x14ac:dyDescent="0.3">
      <c r="A11" s="3">
        <v>4.5</v>
      </c>
      <c r="B11" s="5">
        <v>5</v>
      </c>
      <c r="C11" s="5">
        <f t="shared" si="1"/>
        <v>7.75</v>
      </c>
      <c r="D11" s="9">
        <f t="shared" si="3"/>
        <v>43.75</v>
      </c>
      <c r="E11" s="5">
        <f t="shared" si="0"/>
        <v>74.999999999999986</v>
      </c>
      <c r="F11" s="3">
        <f t="shared" si="2"/>
        <v>-31.249999999999986</v>
      </c>
    </row>
    <row r="12" spans="1:49" x14ac:dyDescent="0.3">
      <c r="A12" s="3">
        <v>5.5</v>
      </c>
      <c r="B12" s="5">
        <v>6</v>
      </c>
      <c r="C12" s="5">
        <f t="shared" si="1"/>
        <v>7.25</v>
      </c>
      <c r="D12" s="9">
        <f t="shared" si="3"/>
        <v>51</v>
      </c>
      <c r="E12" s="5">
        <f t="shared" si="0"/>
        <v>89.999999999999986</v>
      </c>
      <c r="F12" s="3">
        <f t="shared" si="2"/>
        <v>-38.999999999999986</v>
      </c>
    </row>
    <row r="13" spans="1:49" x14ac:dyDescent="0.3">
      <c r="A13" s="3">
        <v>6.5</v>
      </c>
      <c r="B13" s="5">
        <v>7</v>
      </c>
      <c r="C13" s="5">
        <f t="shared" si="1"/>
        <v>6.75</v>
      </c>
      <c r="D13" s="9">
        <f t="shared" si="3"/>
        <v>57.75</v>
      </c>
      <c r="E13" s="5">
        <f t="shared" si="0"/>
        <v>104.99999999999999</v>
      </c>
      <c r="F13" s="3">
        <f t="shared" si="2"/>
        <v>-47.249999999999986</v>
      </c>
    </row>
    <row r="14" spans="1:49" x14ac:dyDescent="0.3">
      <c r="A14" s="3">
        <v>7.5</v>
      </c>
      <c r="B14" s="5">
        <v>8</v>
      </c>
      <c r="C14" s="5">
        <f t="shared" si="1"/>
        <v>6.25</v>
      </c>
      <c r="D14" s="9">
        <f t="shared" si="3"/>
        <v>64</v>
      </c>
      <c r="E14" s="5">
        <f t="shared" si="0"/>
        <v>119.99999999999999</v>
      </c>
      <c r="F14" s="3">
        <f t="shared" si="2"/>
        <v>-55.999999999999986</v>
      </c>
    </row>
    <row r="15" spans="1:49" x14ac:dyDescent="0.3">
      <c r="A15" s="3">
        <v>8.5</v>
      </c>
      <c r="B15" s="5">
        <v>9</v>
      </c>
      <c r="C15" s="5">
        <f t="shared" si="1"/>
        <v>5.75</v>
      </c>
      <c r="D15" s="9">
        <f t="shared" si="3"/>
        <v>69.75</v>
      </c>
      <c r="E15" s="5">
        <f t="shared" si="0"/>
        <v>134.99999999999997</v>
      </c>
      <c r="F15" s="3">
        <f t="shared" si="2"/>
        <v>-65.249999999999972</v>
      </c>
    </row>
    <row r="16" spans="1:49" x14ac:dyDescent="0.3">
      <c r="A16" s="3">
        <v>9.5</v>
      </c>
      <c r="B16" s="5">
        <v>10</v>
      </c>
      <c r="C16" s="5">
        <f t="shared" si="1"/>
        <v>5.25</v>
      </c>
      <c r="D16" s="9">
        <f t="shared" si="3"/>
        <v>75</v>
      </c>
      <c r="E16" s="5">
        <f t="shared" si="0"/>
        <v>149.99999999999997</v>
      </c>
      <c r="F16" s="3">
        <f t="shared" si="2"/>
        <v>-74.999999999999972</v>
      </c>
    </row>
    <row r="17" spans="1:6" x14ac:dyDescent="0.3">
      <c r="A17" s="3">
        <v>10.5</v>
      </c>
      <c r="B17" s="5">
        <v>11</v>
      </c>
      <c r="C17" s="5">
        <f t="shared" si="1"/>
        <v>4.75</v>
      </c>
      <c r="D17" s="9">
        <f t="shared" si="3"/>
        <v>79.75</v>
      </c>
      <c r="E17" s="5">
        <f t="shared" si="0"/>
        <v>164.99999999999997</v>
      </c>
      <c r="F17" s="3">
        <f t="shared" si="2"/>
        <v>-85.249999999999972</v>
      </c>
    </row>
    <row r="18" spans="1:6" x14ac:dyDescent="0.3">
      <c r="A18" s="3">
        <v>11.5</v>
      </c>
      <c r="B18" s="5">
        <v>12</v>
      </c>
      <c r="C18" s="5">
        <f t="shared" si="1"/>
        <v>4.25</v>
      </c>
      <c r="D18" s="9">
        <f t="shared" si="3"/>
        <v>84</v>
      </c>
      <c r="E18" s="5">
        <f t="shared" si="0"/>
        <v>179.99999999999997</v>
      </c>
      <c r="F18" s="3">
        <f t="shared" si="2"/>
        <v>-95.999999999999972</v>
      </c>
    </row>
    <row r="19" spans="1:6" x14ac:dyDescent="0.3">
      <c r="A19" s="3">
        <v>12.5</v>
      </c>
      <c r="B19" s="5">
        <v>13</v>
      </c>
      <c r="C19" s="5">
        <f t="shared" si="1"/>
        <v>3.75</v>
      </c>
      <c r="D19" s="9">
        <f t="shared" si="3"/>
        <v>87.75</v>
      </c>
      <c r="E19" s="5">
        <f t="shared" si="0"/>
        <v>194.99999999999997</v>
      </c>
      <c r="F19" s="3">
        <f t="shared" si="2"/>
        <v>-107.24999999999997</v>
      </c>
    </row>
    <row r="20" spans="1:6" x14ac:dyDescent="0.3">
      <c r="A20" s="3">
        <v>13.5</v>
      </c>
      <c r="B20" s="5">
        <v>14</v>
      </c>
      <c r="C20" s="5">
        <f t="shared" si="1"/>
        <v>3.25</v>
      </c>
      <c r="D20" s="9">
        <f t="shared" si="3"/>
        <v>91</v>
      </c>
      <c r="E20" s="5">
        <f t="shared" si="0"/>
        <v>209.99999999999997</v>
      </c>
      <c r="F20" s="3">
        <f t="shared" si="2"/>
        <v>-118.99999999999997</v>
      </c>
    </row>
    <row r="21" spans="1:6" x14ac:dyDescent="0.3">
      <c r="A21" s="3">
        <v>14.5</v>
      </c>
      <c r="B21" s="5">
        <v>15</v>
      </c>
      <c r="C21" s="5">
        <f t="shared" si="1"/>
        <v>2.75</v>
      </c>
      <c r="D21" s="9">
        <f t="shared" si="3"/>
        <v>93.75</v>
      </c>
      <c r="E21" s="5">
        <f t="shared" si="0"/>
        <v>90</v>
      </c>
      <c r="F21" s="3">
        <f t="shared" si="2"/>
        <v>3.75</v>
      </c>
    </row>
    <row r="22" spans="1:6" x14ac:dyDescent="0.3">
      <c r="A22" s="3">
        <v>15.5</v>
      </c>
      <c r="B22" s="5">
        <v>16</v>
      </c>
      <c r="C22" s="5">
        <f t="shared" si="1"/>
        <v>2.25</v>
      </c>
      <c r="D22" s="9">
        <f t="shared" si="3"/>
        <v>96</v>
      </c>
      <c r="E22" s="5">
        <f t="shared" si="0"/>
        <v>96</v>
      </c>
      <c r="F22" s="3">
        <f t="shared" si="2"/>
        <v>0</v>
      </c>
    </row>
    <row r="23" spans="1:6" x14ac:dyDescent="0.3">
      <c r="A23" s="3">
        <v>16.5</v>
      </c>
      <c r="B23" s="5">
        <v>17</v>
      </c>
      <c r="C23" s="5">
        <f t="shared" si="1"/>
        <v>1.75</v>
      </c>
      <c r="D23" s="9">
        <f t="shared" si="3"/>
        <v>97.75</v>
      </c>
      <c r="E23" s="5">
        <f t="shared" si="0"/>
        <v>102</v>
      </c>
      <c r="F23" s="3">
        <f t="shared" si="2"/>
        <v>-4.25</v>
      </c>
    </row>
    <row r="24" spans="1:6" x14ac:dyDescent="0.3">
      <c r="A24" s="3">
        <v>17.5</v>
      </c>
      <c r="B24" s="5">
        <v>18</v>
      </c>
      <c r="C24" s="5">
        <f t="shared" si="1"/>
        <v>1.25</v>
      </c>
      <c r="D24" s="9">
        <f t="shared" si="3"/>
        <v>99</v>
      </c>
      <c r="E24" s="5">
        <f t="shared" si="0"/>
        <v>108</v>
      </c>
      <c r="F24" s="3">
        <f t="shared" si="2"/>
        <v>-9</v>
      </c>
    </row>
    <row r="25" spans="1:6" x14ac:dyDescent="0.3">
      <c r="A25" s="3">
        <v>18.5</v>
      </c>
      <c r="B25" s="5">
        <v>19</v>
      </c>
      <c r="C25" s="5">
        <f t="shared" si="1"/>
        <v>0.75</v>
      </c>
      <c r="D25" s="9">
        <f t="shared" si="3"/>
        <v>99.75</v>
      </c>
      <c r="E25" s="5">
        <f t="shared" si="0"/>
        <v>114</v>
      </c>
      <c r="F25" s="3">
        <f t="shared" si="2"/>
        <v>-14.25</v>
      </c>
    </row>
    <row r="26" spans="1:6" x14ac:dyDescent="0.3">
      <c r="A26" s="6">
        <v>19.5</v>
      </c>
      <c r="B26" s="7">
        <v>20</v>
      </c>
      <c r="C26" s="7">
        <f t="shared" si="1"/>
        <v>0.25</v>
      </c>
      <c r="D26" s="10">
        <f t="shared" si="3"/>
        <v>100</v>
      </c>
      <c r="E26" s="7">
        <f t="shared" si="0"/>
        <v>120</v>
      </c>
      <c r="F26" s="6">
        <f t="shared" si="2"/>
        <v>-20</v>
      </c>
    </row>
  </sheetData>
  <mergeCells count="1">
    <mergeCell ref="A1:AW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B99C7-3844-4F43-BB1A-8D3A4FB15661}">
  <dimension ref="A1:AW26"/>
  <sheetViews>
    <sheetView topLeftCell="E1" workbookViewId="0">
      <selection activeCell="I4" sqref="I4"/>
    </sheetView>
  </sheetViews>
  <sheetFormatPr defaultRowHeight="14.4" x14ac:dyDescent="0.3"/>
  <cols>
    <col min="1" max="1" width="12" bestFit="1" customWidth="1"/>
    <col min="3" max="3" width="14.44140625" bestFit="1" customWidth="1"/>
    <col min="4" max="4" width="10.44140625" bestFit="1" customWidth="1"/>
    <col min="7" max="7" width="14.109375" bestFit="1" customWidth="1"/>
    <col min="9" max="9" width="18.88671875" bestFit="1" customWidth="1"/>
    <col min="12" max="12" width="10.77734375" bestFit="1" customWidth="1"/>
  </cols>
  <sheetData>
    <row r="1" spans="1:49" x14ac:dyDescent="0.3">
      <c r="A1" s="12" t="s">
        <v>0</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row>
    <row r="3" spans="1:49" x14ac:dyDescent="0.3">
      <c r="A3" t="s">
        <v>1</v>
      </c>
      <c r="C3" t="s">
        <v>8</v>
      </c>
      <c r="D3" t="s">
        <v>9</v>
      </c>
      <c r="E3" t="s">
        <v>10</v>
      </c>
      <c r="G3" t="s">
        <v>19</v>
      </c>
      <c r="H3" t="s">
        <v>12</v>
      </c>
      <c r="I3" t="s">
        <v>13</v>
      </c>
      <c r="J3" t="s">
        <v>15</v>
      </c>
      <c r="L3" t="s">
        <v>14</v>
      </c>
    </row>
    <row r="4" spans="1:49" x14ac:dyDescent="0.3">
      <c r="A4">
        <v>2</v>
      </c>
      <c r="C4">
        <v>7</v>
      </c>
      <c r="D4">
        <v>11</v>
      </c>
      <c r="E4">
        <v>2</v>
      </c>
      <c r="G4">
        <f>IF(L4&gt;0,MATCH(L4,F7:F26,0),0)</f>
        <v>16</v>
      </c>
      <c r="H4">
        <f>VLOOKUP(G4,B7:E26,4,FALSE)</f>
        <v>95</v>
      </c>
      <c r="I4">
        <f>G4*A4</f>
        <v>32</v>
      </c>
      <c r="J4">
        <f>H4-I4</f>
        <v>63</v>
      </c>
      <c r="L4">
        <f>MAX(F7:F26)</f>
        <v>1</v>
      </c>
    </row>
    <row r="6" spans="1:49" x14ac:dyDescent="0.3">
      <c r="A6" t="s">
        <v>20</v>
      </c>
      <c r="B6" t="s">
        <v>2</v>
      </c>
      <c r="C6" t="s">
        <v>21</v>
      </c>
      <c r="D6" t="s">
        <v>22</v>
      </c>
      <c r="E6" t="s">
        <v>5</v>
      </c>
      <c r="F6" t="s">
        <v>18</v>
      </c>
    </row>
    <row r="7" spans="1:49" x14ac:dyDescent="0.3">
      <c r="A7">
        <v>0.5</v>
      </c>
      <c r="B7">
        <v>1</v>
      </c>
      <c r="C7">
        <f>10-0.5*A7</f>
        <v>9.75</v>
      </c>
      <c r="D7">
        <f>C7</f>
        <v>9.75</v>
      </c>
      <c r="E7">
        <f t="shared" ref="E7:E26" si="0">IF(B7&lt;=CutOffQuantity,B7*HighPrice,CutOffQuantity*HighPrice+(B7-CutOffQuantity)*LowPrice)</f>
        <v>11</v>
      </c>
      <c r="F7">
        <f>D7-E7</f>
        <v>-1.25</v>
      </c>
    </row>
    <row r="8" spans="1:49" x14ac:dyDescent="0.3">
      <c r="A8">
        <v>1.5</v>
      </c>
      <c r="B8">
        <v>2</v>
      </c>
      <c r="C8">
        <f t="shared" ref="C8:C26" si="1">10-0.5*A8</f>
        <v>9.25</v>
      </c>
      <c r="D8">
        <f>D7+C8</f>
        <v>19</v>
      </c>
      <c r="E8">
        <f t="shared" si="0"/>
        <v>22</v>
      </c>
      <c r="F8">
        <f t="shared" ref="F8:F26" si="2">D8-E8</f>
        <v>-3</v>
      </c>
    </row>
    <row r="9" spans="1:49" x14ac:dyDescent="0.3">
      <c r="A9">
        <v>2.5</v>
      </c>
      <c r="B9">
        <v>3</v>
      </c>
      <c r="C9">
        <f t="shared" si="1"/>
        <v>8.75</v>
      </c>
      <c r="D9">
        <f t="shared" ref="D9:D26" si="3">D8+C9</f>
        <v>27.75</v>
      </c>
      <c r="E9">
        <f t="shared" si="0"/>
        <v>33</v>
      </c>
      <c r="F9">
        <f t="shared" si="2"/>
        <v>-5.25</v>
      </c>
    </row>
    <row r="10" spans="1:49" x14ac:dyDescent="0.3">
      <c r="A10">
        <v>3.5</v>
      </c>
      <c r="B10">
        <v>4</v>
      </c>
      <c r="C10">
        <f t="shared" si="1"/>
        <v>8.25</v>
      </c>
      <c r="D10">
        <f t="shared" si="3"/>
        <v>36</v>
      </c>
      <c r="E10">
        <f t="shared" si="0"/>
        <v>44</v>
      </c>
      <c r="F10">
        <f t="shared" si="2"/>
        <v>-8</v>
      </c>
    </row>
    <row r="11" spans="1:49" x14ac:dyDescent="0.3">
      <c r="A11">
        <v>4.5</v>
      </c>
      <c r="B11">
        <v>5</v>
      </c>
      <c r="C11">
        <f t="shared" si="1"/>
        <v>7.75</v>
      </c>
      <c r="D11">
        <f t="shared" si="3"/>
        <v>43.75</v>
      </c>
      <c r="E11">
        <f t="shared" si="0"/>
        <v>55</v>
      </c>
      <c r="F11">
        <f t="shared" si="2"/>
        <v>-11.25</v>
      </c>
    </row>
    <row r="12" spans="1:49" x14ac:dyDescent="0.3">
      <c r="A12">
        <v>5.5</v>
      </c>
      <c r="B12">
        <v>6</v>
      </c>
      <c r="C12">
        <f t="shared" si="1"/>
        <v>7.25</v>
      </c>
      <c r="D12">
        <f t="shared" si="3"/>
        <v>51</v>
      </c>
      <c r="E12">
        <f t="shared" si="0"/>
        <v>66</v>
      </c>
      <c r="F12">
        <f t="shared" si="2"/>
        <v>-15</v>
      </c>
    </row>
    <row r="13" spans="1:49" x14ac:dyDescent="0.3">
      <c r="A13">
        <v>6.5</v>
      </c>
      <c r="B13">
        <v>7</v>
      </c>
      <c r="C13">
        <f t="shared" si="1"/>
        <v>6.75</v>
      </c>
      <c r="D13">
        <f t="shared" si="3"/>
        <v>57.75</v>
      </c>
      <c r="E13">
        <f t="shared" si="0"/>
        <v>77</v>
      </c>
      <c r="F13">
        <f t="shared" si="2"/>
        <v>-19.25</v>
      </c>
    </row>
    <row r="14" spans="1:49" x14ac:dyDescent="0.3">
      <c r="A14">
        <v>7.5</v>
      </c>
      <c r="B14">
        <v>8</v>
      </c>
      <c r="C14">
        <f t="shared" si="1"/>
        <v>6.25</v>
      </c>
      <c r="D14">
        <f t="shared" si="3"/>
        <v>64</v>
      </c>
      <c r="E14">
        <f t="shared" si="0"/>
        <v>79</v>
      </c>
      <c r="F14">
        <f t="shared" si="2"/>
        <v>-15</v>
      </c>
    </row>
    <row r="15" spans="1:49" x14ac:dyDescent="0.3">
      <c r="A15">
        <v>8.5</v>
      </c>
      <c r="B15">
        <v>9</v>
      </c>
      <c r="C15">
        <f t="shared" si="1"/>
        <v>5.75</v>
      </c>
      <c r="D15">
        <f t="shared" si="3"/>
        <v>69.75</v>
      </c>
      <c r="E15">
        <f t="shared" si="0"/>
        <v>81</v>
      </c>
      <c r="F15">
        <f t="shared" si="2"/>
        <v>-11.25</v>
      </c>
    </row>
    <row r="16" spans="1:49" x14ac:dyDescent="0.3">
      <c r="A16">
        <v>9.5</v>
      </c>
      <c r="B16">
        <v>10</v>
      </c>
      <c r="C16">
        <f t="shared" si="1"/>
        <v>5.25</v>
      </c>
      <c r="D16">
        <f t="shared" si="3"/>
        <v>75</v>
      </c>
      <c r="E16">
        <f t="shared" si="0"/>
        <v>83</v>
      </c>
      <c r="F16">
        <f t="shared" si="2"/>
        <v>-8</v>
      </c>
    </row>
    <row r="17" spans="1:6" x14ac:dyDescent="0.3">
      <c r="A17">
        <v>10.5</v>
      </c>
      <c r="B17">
        <v>11</v>
      </c>
      <c r="C17">
        <f t="shared" si="1"/>
        <v>4.75</v>
      </c>
      <c r="D17">
        <f t="shared" si="3"/>
        <v>79.75</v>
      </c>
      <c r="E17">
        <f t="shared" si="0"/>
        <v>85</v>
      </c>
      <c r="F17">
        <f t="shared" si="2"/>
        <v>-5.25</v>
      </c>
    </row>
    <row r="18" spans="1:6" x14ac:dyDescent="0.3">
      <c r="A18">
        <v>11.5</v>
      </c>
      <c r="B18">
        <v>12</v>
      </c>
      <c r="C18">
        <f t="shared" si="1"/>
        <v>4.25</v>
      </c>
      <c r="D18">
        <f t="shared" si="3"/>
        <v>84</v>
      </c>
      <c r="E18">
        <f t="shared" si="0"/>
        <v>87</v>
      </c>
      <c r="F18">
        <f t="shared" si="2"/>
        <v>-3</v>
      </c>
    </row>
    <row r="19" spans="1:6" x14ac:dyDescent="0.3">
      <c r="A19">
        <v>12.5</v>
      </c>
      <c r="B19">
        <v>13</v>
      </c>
      <c r="C19">
        <f t="shared" si="1"/>
        <v>3.75</v>
      </c>
      <c r="D19">
        <f t="shared" si="3"/>
        <v>87.75</v>
      </c>
      <c r="E19">
        <f t="shared" si="0"/>
        <v>89</v>
      </c>
      <c r="F19">
        <f t="shared" si="2"/>
        <v>-1.25</v>
      </c>
    </row>
    <row r="20" spans="1:6" x14ac:dyDescent="0.3">
      <c r="A20">
        <v>13.5</v>
      </c>
      <c r="B20">
        <v>14</v>
      </c>
      <c r="C20">
        <f t="shared" si="1"/>
        <v>3.25</v>
      </c>
      <c r="D20">
        <f t="shared" si="3"/>
        <v>91</v>
      </c>
      <c r="E20">
        <f t="shared" si="0"/>
        <v>91</v>
      </c>
      <c r="F20">
        <f t="shared" si="2"/>
        <v>0</v>
      </c>
    </row>
    <row r="21" spans="1:6" x14ac:dyDescent="0.3">
      <c r="A21">
        <v>14.5</v>
      </c>
      <c r="B21">
        <v>15</v>
      </c>
      <c r="C21">
        <f t="shared" si="1"/>
        <v>2.75</v>
      </c>
      <c r="D21">
        <f t="shared" si="3"/>
        <v>93.75</v>
      </c>
      <c r="E21">
        <f t="shared" si="0"/>
        <v>93</v>
      </c>
      <c r="F21">
        <f t="shared" si="2"/>
        <v>0.75</v>
      </c>
    </row>
    <row r="22" spans="1:6" x14ac:dyDescent="0.3">
      <c r="A22">
        <v>15.5</v>
      </c>
      <c r="B22">
        <v>16</v>
      </c>
      <c r="C22">
        <f t="shared" si="1"/>
        <v>2.25</v>
      </c>
      <c r="D22">
        <f t="shared" si="3"/>
        <v>96</v>
      </c>
      <c r="E22">
        <f t="shared" si="0"/>
        <v>95</v>
      </c>
      <c r="F22">
        <f t="shared" si="2"/>
        <v>1</v>
      </c>
    </row>
    <row r="23" spans="1:6" x14ac:dyDescent="0.3">
      <c r="A23">
        <v>16.5</v>
      </c>
      <c r="B23">
        <v>17</v>
      </c>
      <c r="C23">
        <f t="shared" si="1"/>
        <v>1.75</v>
      </c>
      <c r="D23">
        <f t="shared" si="3"/>
        <v>97.75</v>
      </c>
      <c r="E23">
        <f t="shared" si="0"/>
        <v>97</v>
      </c>
      <c r="F23">
        <f t="shared" si="2"/>
        <v>0.75</v>
      </c>
    </row>
    <row r="24" spans="1:6" x14ac:dyDescent="0.3">
      <c r="A24">
        <v>17.5</v>
      </c>
      <c r="B24">
        <v>18</v>
      </c>
      <c r="C24">
        <f t="shared" si="1"/>
        <v>1.25</v>
      </c>
      <c r="D24">
        <f t="shared" si="3"/>
        <v>99</v>
      </c>
      <c r="E24">
        <f t="shared" si="0"/>
        <v>99</v>
      </c>
      <c r="F24">
        <f t="shared" si="2"/>
        <v>0</v>
      </c>
    </row>
    <row r="25" spans="1:6" x14ac:dyDescent="0.3">
      <c r="A25">
        <v>18.5</v>
      </c>
      <c r="B25">
        <v>19</v>
      </c>
      <c r="C25">
        <f t="shared" si="1"/>
        <v>0.75</v>
      </c>
      <c r="D25">
        <f t="shared" si="3"/>
        <v>99.75</v>
      </c>
      <c r="E25">
        <f t="shared" si="0"/>
        <v>101</v>
      </c>
      <c r="F25">
        <f t="shared" si="2"/>
        <v>-1.25</v>
      </c>
    </row>
    <row r="26" spans="1:6" x14ac:dyDescent="0.3">
      <c r="A26">
        <v>19.5</v>
      </c>
      <c r="B26">
        <v>20</v>
      </c>
      <c r="C26">
        <f t="shared" si="1"/>
        <v>0.25</v>
      </c>
      <c r="D26">
        <f t="shared" si="3"/>
        <v>100</v>
      </c>
      <c r="E26">
        <f t="shared" si="0"/>
        <v>103</v>
      </c>
      <c r="F26">
        <f t="shared" si="2"/>
        <v>-3</v>
      </c>
    </row>
  </sheetData>
  <mergeCells count="1">
    <mergeCell ref="A1:AW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95DAE-C4C0-43A6-8F7F-8A8B8D0D83A3}">
  <dimension ref="A1:AW26"/>
  <sheetViews>
    <sheetView workbookViewId="0">
      <selection activeCell="F7" sqref="F7"/>
    </sheetView>
  </sheetViews>
  <sheetFormatPr defaultRowHeight="14.4" x14ac:dyDescent="0.3"/>
  <cols>
    <col min="1" max="1" width="12" bestFit="1" customWidth="1"/>
    <col min="4" max="4" width="10.44140625" bestFit="1" customWidth="1"/>
    <col min="7" max="7" width="14.109375" bestFit="1" customWidth="1"/>
    <col min="8" max="8" width="8" bestFit="1" customWidth="1"/>
    <col min="9" max="9" width="9.33203125" bestFit="1" customWidth="1"/>
    <col min="10" max="10" width="5.5546875" bestFit="1" customWidth="1"/>
    <col min="12" max="12" width="10.77734375" bestFit="1" customWidth="1"/>
  </cols>
  <sheetData>
    <row r="1" spans="1:49" x14ac:dyDescent="0.3">
      <c r="A1" s="12" t="s">
        <v>0</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row>
    <row r="3" spans="1:49" x14ac:dyDescent="0.3">
      <c r="A3" t="s">
        <v>1</v>
      </c>
      <c r="C3" t="s">
        <v>23</v>
      </c>
      <c r="D3" t="s">
        <v>9</v>
      </c>
      <c r="E3" t="s">
        <v>10</v>
      </c>
      <c r="G3" t="s">
        <v>19</v>
      </c>
      <c r="H3" t="s">
        <v>12</v>
      </c>
      <c r="I3" t="s">
        <v>24</v>
      </c>
      <c r="J3" t="s">
        <v>15</v>
      </c>
      <c r="L3" t="s">
        <v>14</v>
      </c>
    </row>
    <row r="4" spans="1:49" x14ac:dyDescent="0.3">
      <c r="A4">
        <v>2</v>
      </c>
      <c r="C4">
        <v>14</v>
      </c>
      <c r="D4">
        <v>16</v>
      </c>
      <c r="E4">
        <v>6</v>
      </c>
      <c r="G4">
        <f>IF(L4&gt;0,MATCH(L4,F7:F26,0),0)</f>
        <v>15</v>
      </c>
      <c r="H4">
        <f>VLOOKUP(G4,B7:E26,4,FALSE)</f>
        <v>90</v>
      </c>
      <c r="I4">
        <f>G4*A4</f>
        <v>30</v>
      </c>
      <c r="J4">
        <f>H4-I4</f>
        <v>60</v>
      </c>
      <c r="L4">
        <f>MAX(F7:F26)</f>
        <v>3.75</v>
      </c>
    </row>
    <row r="6" spans="1:49" x14ac:dyDescent="0.3">
      <c r="A6" t="s">
        <v>20</v>
      </c>
      <c r="B6" t="s">
        <v>2</v>
      </c>
      <c r="C6" t="s">
        <v>21</v>
      </c>
      <c r="D6" t="s">
        <v>22</v>
      </c>
      <c r="E6" t="s">
        <v>5</v>
      </c>
      <c r="F6" t="s">
        <v>18</v>
      </c>
    </row>
    <row r="7" spans="1:49" x14ac:dyDescent="0.3">
      <c r="A7">
        <v>0.5</v>
      </c>
      <c r="B7">
        <v>1</v>
      </c>
      <c r="C7">
        <f>(20-A7)/2</f>
        <v>9.75</v>
      </c>
      <c r="D7">
        <f>C7</f>
        <v>9.75</v>
      </c>
      <c r="E7">
        <f>IF(B7&lt;=$C$4,B7*$D$4,B7*$E$4)</f>
        <v>16</v>
      </c>
      <c r="F7">
        <f>D7-E7</f>
        <v>-6.25</v>
      </c>
    </row>
    <row r="8" spans="1:49" x14ac:dyDescent="0.3">
      <c r="A8">
        <v>1.5</v>
      </c>
      <c r="B8">
        <v>2</v>
      </c>
      <c r="C8">
        <f t="shared" ref="C8:C26" si="0">(20-A8)/2</f>
        <v>9.25</v>
      </c>
      <c r="D8">
        <f>D7+C8</f>
        <v>19</v>
      </c>
      <c r="E8">
        <f t="shared" ref="E8:E26" si="1">IF(B8&lt;=$C$4,B8*$D$4,B8*$E$4)</f>
        <v>32</v>
      </c>
      <c r="F8">
        <f t="shared" ref="F8:F26" si="2">D8-E8</f>
        <v>-13</v>
      </c>
    </row>
    <row r="9" spans="1:49" x14ac:dyDescent="0.3">
      <c r="A9">
        <v>2.5</v>
      </c>
      <c r="B9">
        <v>3</v>
      </c>
      <c r="C9">
        <f t="shared" si="0"/>
        <v>8.75</v>
      </c>
      <c r="D9">
        <f t="shared" ref="D9:D26" si="3">D8+C9</f>
        <v>27.75</v>
      </c>
      <c r="E9">
        <f t="shared" si="1"/>
        <v>48</v>
      </c>
      <c r="F9">
        <f t="shared" si="2"/>
        <v>-20.25</v>
      </c>
    </row>
    <row r="10" spans="1:49" x14ac:dyDescent="0.3">
      <c r="A10">
        <v>3.5</v>
      </c>
      <c r="B10">
        <v>4</v>
      </c>
      <c r="C10">
        <f t="shared" si="0"/>
        <v>8.25</v>
      </c>
      <c r="D10">
        <f t="shared" si="3"/>
        <v>36</v>
      </c>
      <c r="E10">
        <f t="shared" si="1"/>
        <v>64</v>
      </c>
      <c r="F10">
        <f t="shared" si="2"/>
        <v>-28</v>
      </c>
    </row>
    <row r="11" spans="1:49" x14ac:dyDescent="0.3">
      <c r="A11">
        <v>4.5</v>
      </c>
      <c r="B11">
        <v>5</v>
      </c>
      <c r="C11">
        <f t="shared" si="0"/>
        <v>7.75</v>
      </c>
      <c r="D11">
        <f t="shared" si="3"/>
        <v>43.75</v>
      </c>
      <c r="E11">
        <f t="shared" si="1"/>
        <v>80</v>
      </c>
      <c r="F11">
        <f t="shared" si="2"/>
        <v>-36.25</v>
      </c>
    </row>
    <row r="12" spans="1:49" x14ac:dyDescent="0.3">
      <c r="A12">
        <v>5.5</v>
      </c>
      <c r="B12">
        <v>6</v>
      </c>
      <c r="C12">
        <f t="shared" si="0"/>
        <v>7.25</v>
      </c>
      <c r="D12">
        <f t="shared" si="3"/>
        <v>51</v>
      </c>
      <c r="E12">
        <f t="shared" si="1"/>
        <v>96</v>
      </c>
      <c r="F12">
        <f t="shared" si="2"/>
        <v>-45</v>
      </c>
    </row>
    <row r="13" spans="1:49" x14ac:dyDescent="0.3">
      <c r="A13">
        <v>6.5</v>
      </c>
      <c r="B13">
        <v>7</v>
      </c>
      <c r="C13">
        <f t="shared" si="0"/>
        <v>6.75</v>
      </c>
      <c r="D13">
        <f t="shared" si="3"/>
        <v>57.75</v>
      </c>
      <c r="E13">
        <f t="shared" si="1"/>
        <v>112</v>
      </c>
      <c r="F13">
        <f t="shared" si="2"/>
        <v>-54.25</v>
      </c>
    </row>
    <row r="14" spans="1:49" x14ac:dyDescent="0.3">
      <c r="A14">
        <v>7.5</v>
      </c>
      <c r="B14">
        <v>8</v>
      </c>
      <c r="C14">
        <f t="shared" si="0"/>
        <v>6.25</v>
      </c>
      <c r="D14">
        <f t="shared" si="3"/>
        <v>64</v>
      </c>
      <c r="E14">
        <f t="shared" si="1"/>
        <v>128</v>
      </c>
      <c r="F14">
        <f t="shared" si="2"/>
        <v>-64</v>
      </c>
    </row>
    <row r="15" spans="1:49" x14ac:dyDescent="0.3">
      <c r="A15">
        <v>8.5</v>
      </c>
      <c r="B15">
        <v>9</v>
      </c>
      <c r="C15">
        <f t="shared" si="0"/>
        <v>5.75</v>
      </c>
      <c r="D15">
        <f t="shared" si="3"/>
        <v>69.75</v>
      </c>
      <c r="E15">
        <f t="shared" si="1"/>
        <v>144</v>
      </c>
      <c r="F15">
        <f t="shared" si="2"/>
        <v>-74.25</v>
      </c>
    </row>
    <row r="16" spans="1:49" x14ac:dyDescent="0.3">
      <c r="A16">
        <v>9.5</v>
      </c>
      <c r="B16">
        <v>10</v>
      </c>
      <c r="C16">
        <f t="shared" si="0"/>
        <v>5.25</v>
      </c>
      <c r="D16">
        <f t="shared" si="3"/>
        <v>75</v>
      </c>
      <c r="E16">
        <f t="shared" si="1"/>
        <v>160</v>
      </c>
      <c r="F16">
        <f t="shared" si="2"/>
        <v>-85</v>
      </c>
    </row>
    <row r="17" spans="1:6" x14ac:dyDescent="0.3">
      <c r="A17">
        <v>10.5</v>
      </c>
      <c r="B17">
        <v>11</v>
      </c>
      <c r="C17">
        <f t="shared" si="0"/>
        <v>4.75</v>
      </c>
      <c r="D17">
        <f t="shared" si="3"/>
        <v>79.75</v>
      </c>
      <c r="E17">
        <f t="shared" si="1"/>
        <v>176</v>
      </c>
      <c r="F17">
        <f t="shared" si="2"/>
        <v>-96.25</v>
      </c>
    </row>
    <row r="18" spans="1:6" x14ac:dyDescent="0.3">
      <c r="A18">
        <v>11.5</v>
      </c>
      <c r="B18">
        <v>12</v>
      </c>
      <c r="C18">
        <f t="shared" si="0"/>
        <v>4.25</v>
      </c>
      <c r="D18">
        <f t="shared" si="3"/>
        <v>84</v>
      </c>
      <c r="E18">
        <f t="shared" si="1"/>
        <v>192</v>
      </c>
      <c r="F18">
        <f t="shared" si="2"/>
        <v>-108</v>
      </c>
    </row>
    <row r="19" spans="1:6" x14ac:dyDescent="0.3">
      <c r="A19">
        <v>12.5</v>
      </c>
      <c r="B19">
        <v>13</v>
      </c>
      <c r="C19">
        <f t="shared" si="0"/>
        <v>3.75</v>
      </c>
      <c r="D19">
        <f t="shared" si="3"/>
        <v>87.75</v>
      </c>
      <c r="E19">
        <f t="shared" si="1"/>
        <v>208</v>
      </c>
      <c r="F19">
        <f t="shared" si="2"/>
        <v>-120.25</v>
      </c>
    </row>
    <row r="20" spans="1:6" x14ac:dyDescent="0.3">
      <c r="A20">
        <v>13.5</v>
      </c>
      <c r="B20">
        <v>14</v>
      </c>
      <c r="C20">
        <f t="shared" si="0"/>
        <v>3.25</v>
      </c>
      <c r="D20">
        <f t="shared" si="3"/>
        <v>91</v>
      </c>
      <c r="E20">
        <f t="shared" si="1"/>
        <v>224</v>
      </c>
      <c r="F20">
        <f t="shared" si="2"/>
        <v>-133</v>
      </c>
    </row>
    <row r="21" spans="1:6" x14ac:dyDescent="0.3">
      <c r="A21">
        <v>14.5</v>
      </c>
      <c r="B21">
        <v>15</v>
      </c>
      <c r="C21">
        <f t="shared" si="0"/>
        <v>2.75</v>
      </c>
      <c r="D21">
        <f t="shared" si="3"/>
        <v>93.75</v>
      </c>
      <c r="E21">
        <f t="shared" si="1"/>
        <v>90</v>
      </c>
      <c r="F21">
        <f t="shared" si="2"/>
        <v>3.75</v>
      </c>
    </row>
    <row r="22" spans="1:6" x14ac:dyDescent="0.3">
      <c r="A22">
        <v>15.5</v>
      </c>
      <c r="B22">
        <v>16</v>
      </c>
      <c r="C22">
        <f t="shared" si="0"/>
        <v>2.25</v>
      </c>
      <c r="D22">
        <f t="shared" si="3"/>
        <v>96</v>
      </c>
      <c r="E22">
        <f t="shared" si="1"/>
        <v>96</v>
      </c>
      <c r="F22">
        <f t="shared" si="2"/>
        <v>0</v>
      </c>
    </row>
    <row r="23" spans="1:6" x14ac:dyDescent="0.3">
      <c r="A23">
        <v>16.5</v>
      </c>
      <c r="B23">
        <v>17</v>
      </c>
      <c r="C23">
        <f t="shared" si="0"/>
        <v>1.75</v>
      </c>
      <c r="D23">
        <f t="shared" si="3"/>
        <v>97.75</v>
      </c>
      <c r="E23">
        <f t="shared" si="1"/>
        <v>102</v>
      </c>
      <c r="F23">
        <f t="shared" si="2"/>
        <v>-4.25</v>
      </c>
    </row>
    <row r="24" spans="1:6" x14ac:dyDescent="0.3">
      <c r="A24">
        <v>17.5</v>
      </c>
      <c r="B24">
        <v>18</v>
      </c>
      <c r="C24">
        <f t="shared" si="0"/>
        <v>1.25</v>
      </c>
      <c r="D24">
        <f t="shared" si="3"/>
        <v>99</v>
      </c>
      <c r="E24">
        <f t="shared" si="1"/>
        <v>108</v>
      </c>
      <c r="F24">
        <f t="shared" si="2"/>
        <v>-9</v>
      </c>
    </row>
    <row r="25" spans="1:6" x14ac:dyDescent="0.3">
      <c r="A25">
        <v>18.5</v>
      </c>
      <c r="B25">
        <v>19</v>
      </c>
      <c r="C25">
        <f t="shared" si="0"/>
        <v>0.75</v>
      </c>
      <c r="D25">
        <f t="shared" si="3"/>
        <v>99.75</v>
      </c>
      <c r="E25">
        <f t="shared" si="1"/>
        <v>114</v>
      </c>
      <c r="F25">
        <f t="shared" si="2"/>
        <v>-14.25</v>
      </c>
    </row>
    <row r="26" spans="1:6" x14ac:dyDescent="0.3">
      <c r="A26">
        <v>19.5</v>
      </c>
      <c r="B26">
        <v>20</v>
      </c>
      <c r="C26">
        <f t="shared" si="0"/>
        <v>0.25</v>
      </c>
      <c r="D26">
        <f t="shared" si="3"/>
        <v>100</v>
      </c>
      <c r="E26">
        <f t="shared" si="1"/>
        <v>120</v>
      </c>
      <c r="F26">
        <f t="shared" si="2"/>
        <v>-20</v>
      </c>
    </row>
  </sheetData>
  <mergeCells count="1">
    <mergeCell ref="A1:AW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3F2A3-8B22-48CA-8F88-3B3A81488368}">
  <dimension ref="A1:L24"/>
  <sheetViews>
    <sheetView tabSelected="1" workbookViewId="0">
      <selection activeCell="K19" sqref="K19"/>
    </sheetView>
  </sheetViews>
  <sheetFormatPr defaultRowHeight="14.4" x14ac:dyDescent="0.3"/>
  <cols>
    <col min="1" max="1" width="12" bestFit="1" customWidth="1"/>
    <col min="2" max="2" width="5.21875" bestFit="1" customWidth="1"/>
    <col min="3" max="3" width="14.44140625" bestFit="1" customWidth="1"/>
    <col min="4" max="4" width="10.44140625" bestFit="1" customWidth="1"/>
    <col min="5" max="5" width="9.6640625" bestFit="1" customWidth="1"/>
    <col min="6" max="6" width="6.77734375" bestFit="1" customWidth="1"/>
    <col min="7" max="7" width="14.109375" bestFit="1" customWidth="1"/>
    <col min="8" max="8" width="8" bestFit="1" customWidth="1"/>
    <col min="9" max="9" width="9.33203125" bestFit="1" customWidth="1"/>
    <col min="12" max="12" width="10.77734375" bestFit="1" customWidth="1"/>
  </cols>
  <sheetData>
    <row r="1" spans="1:12" x14ac:dyDescent="0.3">
      <c r="A1" s="1" t="s">
        <v>25</v>
      </c>
      <c r="C1" s="1" t="s">
        <v>8</v>
      </c>
      <c r="D1" s="1" t="s">
        <v>9</v>
      </c>
      <c r="E1" s="1" t="s">
        <v>10</v>
      </c>
      <c r="G1" s="1" t="s">
        <v>19</v>
      </c>
      <c r="H1" s="1" t="s">
        <v>12</v>
      </c>
      <c r="I1" s="1" t="s">
        <v>24</v>
      </c>
      <c r="J1" s="1" t="s">
        <v>15</v>
      </c>
      <c r="L1" s="1" t="s">
        <v>14</v>
      </c>
    </row>
    <row r="2" spans="1:12" x14ac:dyDescent="0.3">
      <c r="A2" s="1">
        <v>2</v>
      </c>
      <c r="C2" s="1">
        <v>7</v>
      </c>
      <c r="D2" s="1">
        <v>11</v>
      </c>
      <c r="E2" s="1">
        <v>2</v>
      </c>
      <c r="G2" s="1">
        <f>IF(L2&gt;0,MATCH(L2,F5:F24,0),0)</f>
        <v>16</v>
      </c>
      <c r="H2" s="1">
        <f>VLOOKUP(G2,B5:E24,4,FALSE)</f>
        <v>95</v>
      </c>
      <c r="I2" s="1">
        <f>G2*A2</f>
        <v>32</v>
      </c>
      <c r="J2" s="1">
        <f>H2-I2</f>
        <v>63</v>
      </c>
      <c r="L2" s="1">
        <f>MAX(F5:F24)</f>
        <v>1</v>
      </c>
    </row>
    <row r="4" spans="1:12" x14ac:dyDescent="0.3">
      <c r="A4" s="1" t="s">
        <v>20</v>
      </c>
      <c r="B4" s="1" t="s">
        <v>2</v>
      </c>
      <c r="C4" s="1" t="s">
        <v>21</v>
      </c>
      <c r="D4" s="1" t="s">
        <v>22</v>
      </c>
      <c r="E4" s="1" t="s">
        <v>26</v>
      </c>
      <c r="F4" s="1" t="s">
        <v>18</v>
      </c>
    </row>
    <row r="5" spans="1:12" x14ac:dyDescent="0.3">
      <c r="A5" s="1">
        <v>0.5</v>
      </c>
      <c r="B5" s="1">
        <v>1</v>
      </c>
      <c r="C5" s="1">
        <f>10-0.5*A5</f>
        <v>9.75</v>
      </c>
      <c r="D5" s="1">
        <f>C5</f>
        <v>9.75</v>
      </c>
      <c r="E5" s="1">
        <f>IF(B5&lt;=$C$2,B5*$D$2,$C$2*$D$2+(B5-$C$2)*$E$2)</f>
        <v>11</v>
      </c>
      <c r="F5" s="1">
        <f>D5-E5</f>
        <v>-1.25</v>
      </c>
    </row>
    <row r="6" spans="1:12" x14ac:dyDescent="0.3">
      <c r="A6" s="1">
        <v>1.5</v>
      </c>
      <c r="B6" s="1">
        <v>2</v>
      </c>
      <c r="C6" s="1">
        <f t="shared" ref="C6:C24" si="0">10-0.5*A6</f>
        <v>9.25</v>
      </c>
      <c r="D6" s="1">
        <f>D5+C6</f>
        <v>19</v>
      </c>
      <c r="E6" s="1">
        <f t="shared" ref="E6:E24" si="1">IF(B6&lt;=$C$2,B6*$D$2,$C$2*$D$2+(B6-$C$2)*$E$2)</f>
        <v>22</v>
      </c>
      <c r="F6" s="1">
        <f t="shared" ref="F6:F24" si="2">D6-E6</f>
        <v>-3</v>
      </c>
    </row>
    <row r="7" spans="1:12" x14ac:dyDescent="0.3">
      <c r="A7" s="1">
        <v>2.5</v>
      </c>
      <c r="B7" s="1">
        <v>3</v>
      </c>
      <c r="C7" s="1">
        <f t="shared" si="0"/>
        <v>8.75</v>
      </c>
      <c r="D7" s="1">
        <f t="shared" ref="D7:D24" si="3">D6+C7</f>
        <v>27.75</v>
      </c>
      <c r="E7" s="1">
        <f t="shared" si="1"/>
        <v>33</v>
      </c>
      <c r="F7" s="1">
        <f t="shared" si="2"/>
        <v>-5.25</v>
      </c>
    </row>
    <row r="8" spans="1:12" x14ac:dyDescent="0.3">
      <c r="A8" s="1">
        <v>3.5</v>
      </c>
      <c r="B8" s="1">
        <v>4</v>
      </c>
      <c r="C8" s="1">
        <f t="shared" si="0"/>
        <v>8.25</v>
      </c>
      <c r="D8" s="1">
        <f t="shared" si="3"/>
        <v>36</v>
      </c>
      <c r="E8" s="1">
        <f t="shared" si="1"/>
        <v>44</v>
      </c>
      <c r="F8" s="1">
        <f t="shared" si="2"/>
        <v>-8</v>
      </c>
    </row>
    <row r="9" spans="1:12" x14ac:dyDescent="0.3">
      <c r="A9" s="1">
        <v>4.5</v>
      </c>
      <c r="B9" s="1">
        <v>5</v>
      </c>
      <c r="C9" s="1">
        <f t="shared" si="0"/>
        <v>7.75</v>
      </c>
      <c r="D9" s="1">
        <f t="shared" si="3"/>
        <v>43.75</v>
      </c>
      <c r="E9" s="1">
        <f t="shared" si="1"/>
        <v>55</v>
      </c>
      <c r="F9" s="1">
        <f t="shared" si="2"/>
        <v>-11.25</v>
      </c>
    </row>
    <row r="10" spans="1:12" x14ac:dyDescent="0.3">
      <c r="A10" s="1">
        <v>5.5</v>
      </c>
      <c r="B10" s="1">
        <v>6</v>
      </c>
      <c r="C10" s="1">
        <f t="shared" si="0"/>
        <v>7.25</v>
      </c>
      <c r="D10" s="1">
        <f t="shared" si="3"/>
        <v>51</v>
      </c>
      <c r="E10" s="1">
        <f t="shared" si="1"/>
        <v>66</v>
      </c>
      <c r="F10" s="1">
        <f t="shared" si="2"/>
        <v>-15</v>
      </c>
    </row>
    <row r="11" spans="1:12" x14ac:dyDescent="0.3">
      <c r="A11" s="1">
        <v>6.5</v>
      </c>
      <c r="B11" s="1">
        <v>7</v>
      </c>
      <c r="C11" s="1">
        <f t="shared" si="0"/>
        <v>6.75</v>
      </c>
      <c r="D11" s="1">
        <f t="shared" si="3"/>
        <v>57.75</v>
      </c>
      <c r="E11" s="1">
        <f t="shared" si="1"/>
        <v>77</v>
      </c>
      <c r="F11" s="1">
        <f t="shared" si="2"/>
        <v>-19.25</v>
      </c>
    </row>
    <row r="12" spans="1:12" x14ac:dyDescent="0.3">
      <c r="A12" s="1">
        <v>7.5</v>
      </c>
      <c r="B12" s="1">
        <v>8</v>
      </c>
      <c r="C12" s="1">
        <f t="shared" si="0"/>
        <v>6.25</v>
      </c>
      <c r="D12" s="1">
        <f t="shared" si="3"/>
        <v>64</v>
      </c>
      <c r="E12" s="1">
        <f t="shared" si="1"/>
        <v>79</v>
      </c>
      <c r="F12" s="1">
        <f t="shared" si="2"/>
        <v>-15</v>
      </c>
    </row>
    <row r="13" spans="1:12" x14ac:dyDescent="0.3">
      <c r="A13" s="1">
        <v>8.5</v>
      </c>
      <c r="B13" s="1">
        <v>9</v>
      </c>
      <c r="C13" s="1">
        <f t="shared" si="0"/>
        <v>5.75</v>
      </c>
      <c r="D13" s="1">
        <f t="shared" si="3"/>
        <v>69.75</v>
      </c>
      <c r="E13" s="1">
        <f t="shared" si="1"/>
        <v>81</v>
      </c>
      <c r="F13" s="1">
        <f t="shared" si="2"/>
        <v>-11.25</v>
      </c>
    </row>
    <row r="14" spans="1:12" x14ac:dyDescent="0.3">
      <c r="A14" s="1">
        <v>9.5</v>
      </c>
      <c r="B14" s="1">
        <v>10</v>
      </c>
      <c r="C14" s="1">
        <f t="shared" si="0"/>
        <v>5.25</v>
      </c>
      <c r="D14" s="1">
        <f t="shared" si="3"/>
        <v>75</v>
      </c>
      <c r="E14" s="1">
        <f t="shared" si="1"/>
        <v>83</v>
      </c>
      <c r="F14" s="1">
        <f t="shared" si="2"/>
        <v>-8</v>
      </c>
    </row>
    <row r="15" spans="1:12" x14ac:dyDescent="0.3">
      <c r="A15" s="1">
        <v>10.5</v>
      </c>
      <c r="B15" s="1">
        <v>11</v>
      </c>
      <c r="C15" s="1">
        <f t="shared" si="0"/>
        <v>4.75</v>
      </c>
      <c r="D15" s="1">
        <f t="shared" si="3"/>
        <v>79.75</v>
      </c>
      <c r="E15" s="1">
        <f t="shared" si="1"/>
        <v>85</v>
      </c>
      <c r="F15" s="1">
        <f t="shared" si="2"/>
        <v>-5.25</v>
      </c>
    </row>
    <row r="16" spans="1:12" x14ac:dyDescent="0.3">
      <c r="A16" s="1">
        <v>11.5</v>
      </c>
      <c r="B16" s="1">
        <v>12</v>
      </c>
      <c r="C16" s="1">
        <f t="shared" si="0"/>
        <v>4.25</v>
      </c>
      <c r="D16" s="1">
        <f t="shared" si="3"/>
        <v>84</v>
      </c>
      <c r="E16" s="1">
        <f t="shared" si="1"/>
        <v>87</v>
      </c>
      <c r="F16" s="1">
        <f t="shared" si="2"/>
        <v>-3</v>
      </c>
    </row>
    <row r="17" spans="1:6" x14ac:dyDescent="0.3">
      <c r="A17" s="1">
        <v>12.5</v>
      </c>
      <c r="B17" s="1">
        <v>13</v>
      </c>
      <c r="C17" s="1">
        <f t="shared" si="0"/>
        <v>3.75</v>
      </c>
      <c r="D17" s="1">
        <f t="shared" si="3"/>
        <v>87.75</v>
      </c>
      <c r="E17" s="1">
        <f t="shared" si="1"/>
        <v>89</v>
      </c>
      <c r="F17" s="1">
        <f t="shared" si="2"/>
        <v>-1.25</v>
      </c>
    </row>
    <row r="18" spans="1:6" x14ac:dyDescent="0.3">
      <c r="A18" s="1">
        <v>13.5</v>
      </c>
      <c r="B18" s="1">
        <v>14</v>
      </c>
      <c r="C18" s="1">
        <f t="shared" si="0"/>
        <v>3.25</v>
      </c>
      <c r="D18" s="1">
        <f t="shared" si="3"/>
        <v>91</v>
      </c>
      <c r="E18" s="1">
        <f t="shared" si="1"/>
        <v>91</v>
      </c>
      <c r="F18" s="1">
        <f t="shared" si="2"/>
        <v>0</v>
      </c>
    </row>
    <row r="19" spans="1:6" x14ac:dyDescent="0.3">
      <c r="A19" s="1">
        <v>14.5</v>
      </c>
      <c r="B19" s="1">
        <v>15</v>
      </c>
      <c r="C19" s="1">
        <f t="shared" si="0"/>
        <v>2.75</v>
      </c>
      <c r="D19" s="1">
        <f t="shared" si="3"/>
        <v>93.75</v>
      </c>
      <c r="E19" s="1">
        <f t="shared" si="1"/>
        <v>93</v>
      </c>
      <c r="F19" s="1">
        <f t="shared" si="2"/>
        <v>0.75</v>
      </c>
    </row>
    <row r="20" spans="1:6" x14ac:dyDescent="0.3">
      <c r="A20" s="1">
        <v>15.5</v>
      </c>
      <c r="B20" s="1">
        <v>16</v>
      </c>
      <c r="C20" s="1">
        <f t="shared" si="0"/>
        <v>2.25</v>
      </c>
      <c r="D20" s="1">
        <f t="shared" si="3"/>
        <v>96</v>
      </c>
      <c r="E20" s="1">
        <f t="shared" si="1"/>
        <v>95</v>
      </c>
      <c r="F20" s="1">
        <f t="shared" si="2"/>
        <v>1</v>
      </c>
    </row>
    <row r="21" spans="1:6" x14ac:dyDescent="0.3">
      <c r="A21" s="1">
        <v>16.5</v>
      </c>
      <c r="B21" s="1">
        <v>17</v>
      </c>
      <c r="C21" s="1">
        <f t="shared" si="0"/>
        <v>1.75</v>
      </c>
      <c r="D21" s="1">
        <f t="shared" si="3"/>
        <v>97.75</v>
      </c>
      <c r="E21" s="1">
        <f t="shared" si="1"/>
        <v>97</v>
      </c>
      <c r="F21" s="1">
        <f t="shared" si="2"/>
        <v>0.75</v>
      </c>
    </row>
    <row r="22" spans="1:6" x14ac:dyDescent="0.3">
      <c r="A22" s="1">
        <v>17.5</v>
      </c>
      <c r="B22" s="1">
        <v>18</v>
      </c>
      <c r="C22" s="1">
        <f t="shared" si="0"/>
        <v>1.25</v>
      </c>
      <c r="D22" s="1">
        <f t="shared" si="3"/>
        <v>99</v>
      </c>
      <c r="E22" s="1">
        <f t="shared" si="1"/>
        <v>99</v>
      </c>
      <c r="F22" s="1">
        <f t="shared" si="2"/>
        <v>0</v>
      </c>
    </row>
    <row r="23" spans="1:6" x14ac:dyDescent="0.3">
      <c r="A23" s="1">
        <v>18.5</v>
      </c>
      <c r="B23" s="1">
        <v>19</v>
      </c>
      <c r="C23" s="1">
        <f t="shared" si="0"/>
        <v>0.75</v>
      </c>
      <c r="D23" s="1">
        <f t="shared" si="3"/>
        <v>99.75</v>
      </c>
      <c r="E23" s="1">
        <f t="shared" si="1"/>
        <v>101</v>
      </c>
      <c r="F23" s="1">
        <f t="shared" si="2"/>
        <v>-1.25</v>
      </c>
    </row>
    <row r="24" spans="1:6" x14ac:dyDescent="0.3">
      <c r="A24" s="1">
        <v>19.5</v>
      </c>
      <c r="B24" s="1">
        <v>20</v>
      </c>
      <c r="C24" s="1">
        <f t="shared" si="0"/>
        <v>0.25</v>
      </c>
      <c r="D24" s="1">
        <f t="shared" si="3"/>
        <v>100</v>
      </c>
      <c r="E24" s="1">
        <f t="shared" si="1"/>
        <v>103</v>
      </c>
      <c r="F24" s="1">
        <f t="shared" si="2"/>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9</vt:i4>
      </vt:variant>
    </vt:vector>
  </HeadingPairs>
  <TitlesOfParts>
    <vt:vector size="14" baseType="lpstr">
      <vt:lpstr>PR7</vt:lpstr>
      <vt:lpstr>PR8</vt:lpstr>
      <vt:lpstr>Practice 7</vt:lpstr>
      <vt:lpstr>Practice 8</vt:lpstr>
      <vt:lpstr>Sheet1</vt:lpstr>
      <vt:lpstr>'PR7'!Cut_Off_Quantity</vt:lpstr>
      <vt:lpstr>Cut_off_Quantity</vt:lpstr>
      <vt:lpstr>CutOffQuantity</vt:lpstr>
      <vt:lpstr>'PR7'!High_Price</vt:lpstr>
      <vt:lpstr>High_Price</vt:lpstr>
      <vt:lpstr>HighPrice</vt:lpstr>
      <vt:lpstr>'PR7'!Low_Price</vt:lpstr>
      <vt:lpstr>Low_Price</vt:lpstr>
      <vt:lpstr>LowPrice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Sujal Mehta</dc:creator>
  <cp:lastModifiedBy>Sujal Mehta</cp:lastModifiedBy>
  <dcterms:created xsi:type="dcterms:W3CDTF">2024-04-10T07:49:13Z</dcterms:created>
  <dcterms:modified xsi:type="dcterms:W3CDTF">2024-06-18T08:45:53Z</dcterms:modified>
</cp:coreProperties>
</file>