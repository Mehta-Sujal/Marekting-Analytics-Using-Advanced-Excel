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al Mehta\Desktop\College\Second Year\Semester 4\Marketing Analytics\"/>
    </mc:Choice>
  </mc:AlternateContent>
  <xr:revisionPtr revIDLastSave="0" documentId="13_ncr:1_{FE3EA53E-6367-4B6C-B3E9-128DB4C234E0}" xr6:coauthVersionLast="36" xr6:coauthVersionMax="36" xr10:uidLastSave="{00000000-0000-0000-0000-000000000000}"/>
  <bookViews>
    <workbookView xWindow="32772" yWindow="32772" windowWidth="23040" windowHeight="8940" activeTab="2" xr2:uid="{00000000-000D-0000-FFFF-FFFF00000000}"/>
  </bookViews>
  <sheets>
    <sheet name="Survey Data" sheetId="3" r:id="rId1"/>
    <sheet name="Initial Solution" sheetId="2" r:id="rId2"/>
    <sheet name="Final Solution" sheetId="1" r:id="rId3"/>
  </sheets>
  <definedNames>
    <definedName name="solver_adj" localSheetId="2" hidden="1">'Final Solution'!$D$4:$J$4</definedName>
    <definedName name="solver_adj" localSheetId="1" hidden="1">'Initial Solution'!$D$4:$J$4</definedName>
    <definedName name="solver_cvg" localSheetId="2" hidden="1">0.0001</definedName>
    <definedName name="solver_cvg" localSheetId="1" hidden="1">0.0001</definedName>
    <definedName name="solver_drv" localSheetId="2" hidden="1">1</definedName>
    <definedName name="solver_drv" localSheetId="1" hidden="1">1</definedName>
    <definedName name="solver_eng" localSheetId="2" hidden="1">3</definedName>
    <definedName name="solver_eng" localSheetId="1" hidden="1">3</definedName>
    <definedName name="solver_est" localSheetId="2" hidden="1">1</definedName>
    <definedName name="solver_est" localSheetId="1" hidden="1">1</definedName>
    <definedName name="solver_itr" localSheetId="2" hidden="1">2147483647</definedName>
    <definedName name="solver_itr" localSheetId="1" hidden="1">2147483647</definedName>
    <definedName name="solver_lhs1" localSheetId="2" hidden="1">'Final Solution'!$D$4:$J$4</definedName>
    <definedName name="solver_lhs1" localSheetId="1" hidden="1">'Initial Solution'!$D$4:$J$4</definedName>
    <definedName name="solver_lhs2" localSheetId="2" hidden="1">'Final Solution'!$D$4:$J$4</definedName>
    <definedName name="solver_lhs2" localSheetId="1" hidden="1">'Initial Solution'!$D$4:$J$4</definedName>
    <definedName name="solver_lhs3" localSheetId="2" hidden="1">'Final Solution'!$D$4:$J$4</definedName>
    <definedName name="solver_mip" localSheetId="2" hidden="1">2147483647</definedName>
    <definedName name="solver_mip" localSheetId="1" hidden="1">2147483647</definedName>
    <definedName name="solver_mni" localSheetId="2" hidden="1">30</definedName>
    <definedName name="solver_mni" localSheetId="1" hidden="1">30</definedName>
    <definedName name="solver_mrt" localSheetId="2" hidden="1">0.075</definedName>
    <definedName name="solver_mrt" localSheetId="1" hidden="1">0.075</definedName>
    <definedName name="solver_msl" localSheetId="2" hidden="1">2</definedName>
    <definedName name="solver_msl" localSheetId="1" hidden="1">2</definedName>
    <definedName name="solver_neg" localSheetId="2" hidden="1">1</definedName>
    <definedName name="solver_neg" localSheetId="1" hidden="1">1</definedName>
    <definedName name="solver_nod" localSheetId="2" hidden="1">2147483647</definedName>
    <definedName name="solver_nod" localSheetId="1" hidden="1">2147483647</definedName>
    <definedName name="solver_num" localSheetId="2" hidden="1">3</definedName>
    <definedName name="solver_num" localSheetId="1" hidden="1">2</definedName>
    <definedName name="solver_nwt" localSheetId="2" hidden="1">1</definedName>
    <definedName name="solver_nwt" localSheetId="1" hidden="1">1</definedName>
    <definedName name="solver_opt" localSheetId="2" hidden="1">'Final Solution'!$L$3</definedName>
    <definedName name="solver_opt" localSheetId="1" hidden="1">'Initial Solution'!$M$3</definedName>
    <definedName name="solver_pre" localSheetId="2" hidden="1">0.000001</definedName>
    <definedName name="solver_pre" localSheetId="1" hidden="1">0.000001</definedName>
    <definedName name="solver_rbv" localSheetId="2" hidden="1">1</definedName>
    <definedName name="solver_rbv" localSheetId="1" hidden="1">1</definedName>
    <definedName name="solver_rel1" localSheetId="2" hidden="1">1</definedName>
    <definedName name="solver_rel1" localSheetId="1" hidden="1">1</definedName>
    <definedName name="solver_rel2" localSheetId="2" hidden="1">4</definedName>
    <definedName name="solver_rel2" localSheetId="1" hidden="1">3</definedName>
    <definedName name="solver_rel3" localSheetId="2" hidden="1">3</definedName>
    <definedName name="solver_rhs1" localSheetId="2" hidden="1">100</definedName>
    <definedName name="solver_rhs1" localSheetId="1" hidden="1">100</definedName>
    <definedName name="solver_rhs2" localSheetId="2" hidden="1">integer</definedName>
    <definedName name="solver_rhs2" localSheetId="1" hidden="1">1</definedName>
    <definedName name="solver_rhs3" localSheetId="2" hidden="1">1</definedName>
    <definedName name="solver_rlx" localSheetId="2" hidden="1">2</definedName>
    <definedName name="solver_rlx" localSheetId="1" hidden="1">2</definedName>
    <definedName name="solver_rsd" localSheetId="2" hidden="1">0</definedName>
    <definedName name="solver_rsd" localSheetId="1" hidden="1">0</definedName>
    <definedName name="solver_scl" localSheetId="2" hidden="1">1</definedName>
    <definedName name="solver_scl" localSheetId="1" hidden="1">1</definedName>
    <definedName name="solver_sho" localSheetId="2" hidden="1">2</definedName>
    <definedName name="solver_sho" localSheetId="1" hidden="1">2</definedName>
    <definedName name="solver_ssz" localSheetId="2" hidden="1">100</definedName>
    <definedName name="solver_ssz" localSheetId="1" hidden="1">100</definedName>
    <definedName name="solver_tim" localSheetId="2" hidden="1">2147483647</definedName>
    <definedName name="solver_tim" localSheetId="1" hidden="1">2147483647</definedName>
    <definedName name="solver_tol" localSheetId="2" hidden="1">0.01</definedName>
    <definedName name="solver_tol" localSheetId="1" hidden="1">0.01</definedName>
    <definedName name="solver_typ" localSheetId="2" hidden="1">1</definedName>
    <definedName name="solver_typ" localSheetId="1" hidden="1">1</definedName>
    <definedName name="solver_val" localSheetId="2" hidden="1">0</definedName>
    <definedName name="solver_val" localSheetId="1" hidden="1">0</definedName>
    <definedName name="solver_ver" localSheetId="2" hidden="1">3</definedName>
    <definedName name="solver_ver" localSheetId="1" hidden="1">3</definedName>
  </definedNames>
  <calcPr calcId="191029"/>
</workbook>
</file>

<file path=xl/calcChain.xml><?xml version="1.0" encoding="utf-8"?>
<calcChain xmlns="http://schemas.openxmlformats.org/spreadsheetml/2006/main">
  <c r="D9" i="2" l="1"/>
  <c r="H9" i="1" l="1"/>
  <c r="L9" i="2" l="1"/>
  <c r="D10" i="2" l="1"/>
  <c r="E10" i="2"/>
  <c r="F10" i="2"/>
  <c r="G10" i="2"/>
  <c r="H10" i="2"/>
  <c r="I10" i="2"/>
  <c r="J10" i="2"/>
  <c r="D11" i="2"/>
  <c r="E11" i="2"/>
  <c r="F11" i="2"/>
  <c r="G11" i="2"/>
  <c r="H11" i="2"/>
  <c r="I11" i="2"/>
  <c r="J11" i="2"/>
  <c r="D12" i="2"/>
  <c r="E12" i="2"/>
  <c r="F12" i="2"/>
  <c r="G12" i="2"/>
  <c r="H12" i="2"/>
  <c r="I12" i="2"/>
  <c r="J12" i="2"/>
  <c r="D13" i="2"/>
  <c r="E13" i="2"/>
  <c r="F13" i="2"/>
  <c r="G13" i="2"/>
  <c r="H13" i="2"/>
  <c r="I13" i="2"/>
  <c r="J13" i="2"/>
  <c r="D14" i="2"/>
  <c r="E14" i="2"/>
  <c r="F14" i="2"/>
  <c r="G14" i="2"/>
  <c r="H14" i="2"/>
  <c r="I14" i="2"/>
  <c r="J14" i="2"/>
  <c r="D15" i="2"/>
  <c r="E15" i="2"/>
  <c r="F15" i="2"/>
  <c r="G15" i="2"/>
  <c r="H15" i="2"/>
  <c r="I15" i="2"/>
  <c r="J15" i="2"/>
  <c r="D16" i="2"/>
  <c r="E16" i="2"/>
  <c r="F16" i="2"/>
  <c r="G16" i="2"/>
  <c r="H16" i="2"/>
  <c r="I16" i="2"/>
  <c r="J16" i="2"/>
  <c r="D17" i="2"/>
  <c r="E17" i="2"/>
  <c r="F17" i="2"/>
  <c r="G17" i="2"/>
  <c r="H17" i="2"/>
  <c r="I17" i="2"/>
  <c r="J17" i="2"/>
  <c r="D18" i="2"/>
  <c r="E18" i="2"/>
  <c r="F18" i="2"/>
  <c r="G18" i="2"/>
  <c r="H18" i="2"/>
  <c r="I18" i="2"/>
  <c r="J18" i="2"/>
  <c r="D19" i="2"/>
  <c r="E19" i="2"/>
  <c r="F19" i="2"/>
  <c r="G19" i="2"/>
  <c r="H19" i="2"/>
  <c r="I19" i="2"/>
  <c r="J19" i="2"/>
  <c r="D20" i="2"/>
  <c r="E20" i="2"/>
  <c r="F20" i="2"/>
  <c r="G20" i="2"/>
  <c r="H20" i="2"/>
  <c r="I20" i="2"/>
  <c r="J20" i="2"/>
  <c r="D21" i="2"/>
  <c r="E21" i="2"/>
  <c r="F21" i="2"/>
  <c r="G21" i="2"/>
  <c r="H21" i="2"/>
  <c r="I21" i="2"/>
  <c r="J21" i="2"/>
  <c r="D22" i="2"/>
  <c r="E22" i="2"/>
  <c r="F22" i="2"/>
  <c r="G22" i="2"/>
  <c r="H22" i="2"/>
  <c r="I22" i="2"/>
  <c r="J22" i="2"/>
  <c r="D23" i="2"/>
  <c r="E23" i="2"/>
  <c r="F23" i="2"/>
  <c r="G23" i="2"/>
  <c r="H23" i="2"/>
  <c r="I23" i="2"/>
  <c r="J23" i="2"/>
  <c r="D24" i="2"/>
  <c r="E24" i="2"/>
  <c r="F24" i="2"/>
  <c r="G24" i="2"/>
  <c r="H24" i="2"/>
  <c r="I24" i="2"/>
  <c r="J24" i="2"/>
  <c r="D25" i="2"/>
  <c r="E25" i="2"/>
  <c r="F25" i="2"/>
  <c r="G25" i="2"/>
  <c r="H25" i="2"/>
  <c r="I25" i="2"/>
  <c r="J25" i="2"/>
  <c r="D26" i="2"/>
  <c r="E26" i="2"/>
  <c r="F26" i="2"/>
  <c r="G26" i="2"/>
  <c r="H26" i="2"/>
  <c r="I26" i="2"/>
  <c r="J26" i="2"/>
  <c r="D27" i="2"/>
  <c r="E27" i="2"/>
  <c r="F27" i="2"/>
  <c r="G27" i="2"/>
  <c r="H27" i="2"/>
  <c r="I27" i="2"/>
  <c r="J27" i="2"/>
  <c r="D28" i="2"/>
  <c r="E28" i="2"/>
  <c r="F28" i="2"/>
  <c r="G28" i="2"/>
  <c r="H28" i="2"/>
  <c r="I28" i="2"/>
  <c r="J28" i="2"/>
  <c r="D29" i="2"/>
  <c r="E29" i="2"/>
  <c r="F29" i="2"/>
  <c r="G29" i="2"/>
  <c r="H29" i="2"/>
  <c r="I29" i="2"/>
  <c r="J29" i="2"/>
  <c r="D30" i="2"/>
  <c r="E30" i="2"/>
  <c r="F30" i="2"/>
  <c r="G30" i="2"/>
  <c r="H30" i="2"/>
  <c r="I30" i="2"/>
  <c r="J30" i="2"/>
  <c r="D31" i="2"/>
  <c r="E31" i="2"/>
  <c r="F31" i="2"/>
  <c r="G31" i="2"/>
  <c r="H31" i="2"/>
  <c r="I31" i="2"/>
  <c r="J31" i="2"/>
  <c r="D32" i="2"/>
  <c r="E32" i="2"/>
  <c r="F32" i="2"/>
  <c r="G32" i="2"/>
  <c r="H32" i="2"/>
  <c r="I32" i="2"/>
  <c r="J32" i="2"/>
  <c r="D33" i="2"/>
  <c r="E33" i="2"/>
  <c r="F33" i="2"/>
  <c r="G33" i="2"/>
  <c r="H33" i="2"/>
  <c r="I33" i="2"/>
  <c r="J33" i="2"/>
  <c r="D34" i="2"/>
  <c r="E34" i="2"/>
  <c r="F34" i="2"/>
  <c r="G34" i="2"/>
  <c r="H34" i="2"/>
  <c r="I34" i="2"/>
  <c r="J34" i="2"/>
  <c r="D35" i="2"/>
  <c r="E35" i="2"/>
  <c r="F35" i="2"/>
  <c r="G35" i="2"/>
  <c r="H35" i="2"/>
  <c r="I35" i="2"/>
  <c r="J35" i="2"/>
  <c r="D36" i="2"/>
  <c r="E36" i="2"/>
  <c r="F36" i="2"/>
  <c r="G36" i="2"/>
  <c r="H36" i="2"/>
  <c r="I36" i="2"/>
  <c r="J36" i="2"/>
  <c r="D37" i="2"/>
  <c r="E37" i="2"/>
  <c r="F37" i="2"/>
  <c r="G37" i="2"/>
  <c r="H37" i="2"/>
  <c r="I37" i="2"/>
  <c r="J37" i="2"/>
  <c r="D38" i="2"/>
  <c r="E38" i="2"/>
  <c r="F38" i="2"/>
  <c r="G38" i="2"/>
  <c r="H38" i="2"/>
  <c r="I38" i="2"/>
  <c r="J38" i="2"/>
  <c r="D39" i="2"/>
  <c r="E39" i="2"/>
  <c r="F39" i="2"/>
  <c r="G39" i="2"/>
  <c r="H39" i="2"/>
  <c r="I39" i="2"/>
  <c r="J39" i="2"/>
  <c r="D40" i="2"/>
  <c r="E40" i="2"/>
  <c r="F40" i="2"/>
  <c r="G40" i="2"/>
  <c r="H40" i="2"/>
  <c r="I40" i="2"/>
  <c r="J40" i="2"/>
  <c r="D41" i="2"/>
  <c r="E41" i="2"/>
  <c r="F41" i="2"/>
  <c r="G41" i="2"/>
  <c r="H41" i="2"/>
  <c r="I41" i="2"/>
  <c r="J41" i="2"/>
  <c r="D42" i="2"/>
  <c r="E42" i="2"/>
  <c r="F42" i="2"/>
  <c r="G42" i="2"/>
  <c r="H42" i="2"/>
  <c r="I42" i="2"/>
  <c r="J42" i="2"/>
  <c r="D43" i="2"/>
  <c r="E43" i="2"/>
  <c r="F43" i="2"/>
  <c r="G43" i="2"/>
  <c r="H43" i="2"/>
  <c r="I43" i="2"/>
  <c r="J43" i="2"/>
  <c r="D44" i="2"/>
  <c r="E44" i="2"/>
  <c r="F44" i="2"/>
  <c r="G44" i="2"/>
  <c r="H44" i="2"/>
  <c r="I44" i="2"/>
  <c r="J44" i="2"/>
  <c r="D45" i="2"/>
  <c r="E45" i="2"/>
  <c r="F45" i="2"/>
  <c r="G45" i="2"/>
  <c r="H45" i="2"/>
  <c r="I45" i="2"/>
  <c r="J45" i="2"/>
  <c r="D46" i="2"/>
  <c r="E46" i="2"/>
  <c r="F46" i="2"/>
  <c r="G46" i="2"/>
  <c r="H46" i="2"/>
  <c r="I46" i="2"/>
  <c r="J46" i="2"/>
  <c r="D47" i="2"/>
  <c r="E47" i="2"/>
  <c r="F47" i="2"/>
  <c r="G47" i="2"/>
  <c r="H47" i="2"/>
  <c r="I47" i="2"/>
  <c r="J47" i="2"/>
  <c r="D48" i="2"/>
  <c r="E48" i="2"/>
  <c r="F48" i="2"/>
  <c r="G48" i="2"/>
  <c r="H48" i="2"/>
  <c r="I48" i="2"/>
  <c r="J48" i="2"/>
  <c r="D49" i="2"/>
  <c r="E49" i="2"/>
  <c r="F49" i="2"/>
  <c r="G49" i="2"/>
  <c r="H49" i="2"/>
  <c r="I49" i="2"/>
  <c r="J49" i="2"/>
  <c r="D50" i="2"/>
  <c r="E50" i="2"/>
  <c r="F50" i="2"/>
  <c r="G50" i="2"/>
  <c r="H50" i="2"/>
  <c r="I50" i="2"/>
  <c r="J50" i="2"/>
  <c r="D51" i="2"/>
  <c r="E51" i="2"/>
  <c r="F51" i="2"/>
  <c r="G51" i="2"/>
  <c r="H51" i="2"/>
  <c r="I51" i="2"/>
  <c r="J51" i="2"/>
  <c r="D52" i="2"/>
  <c r="E52" i="2"/>
  <c r="F52" i="2"/>
  <c r="G52" i="2"/>
  <c r="H52" i="2"/>
  <c r="I52" i="2"/>
  <c r="J52" i="2"/>
  <c r="D53" i="2"/>
  <c r="E53" i="2"/>
  <c r="F53" i="2"/>
  <c r="G53" i="2"/>
  <c r="H53" i="2"/>
  <c r="I53" i="2"/>
  <c r="J53" i="2"/>
  <c r="D54" i="2"/>
  <c r="E54" i="2"/>
  <c r="F54" i="2"/>
  <c r="G54" i="2"/>
  <c r="H54" i="2"/>
  <c r="I54" i="2"/>
  <c r="J54" i="2"/>
  <c r="D55" i="2"/>
  <c r="E55" i="2"/>
  <c r="F55" i="2"/>
  <c r="G55" i="2"/>
  <c r="H55" i="2"/>
  <c r="I55" i="2"/>
  <c r="J55" i="2"/>
  <c r="D56" i="2"/>
  <c r="E56" i="2"/>
  <c r="F56" i="2"/>
  <c r="G56" i="2"/>
  <c r="H56" i="2"/>
  <c r="I56" i="2"/>
  <c r="J56" i="2"/>
  <c r="D57" i="2"/>
  <c r="E57" i="2"/>
  <c r="F57" i="2"/>
  <c r="G57" i="2"/>
  <c r="H57" i="2"/>
  <c r="I57" i="2"/>
  <c r="J57" i="2"/>
  <c r="D58" i="2"/>
  <c r="E58" i="2"/>
  <c r="F58" i="2"/>
  <c r="G58" i="2"/>
  <c r="H58" i="2"/>
  <c r="I58" i="2"/>
  <c r="J58" i="2"/>
  <c r="D59" i="2"/>
  <c r="E59" i="2"/>
  <c r="F59" i="2"/>
  <c r="G59" i="2"/>
  <c r="H59" i="2"/>
  <c r="I59" i="2"/>
  <c r="J59" i="2"/>
  <c r="D60" i="2"/>
  <c r="E60" i="2"/>
  <c r="F60" i="2"/>
  <c r="G60" i="2"/>
  <c r="H60" i="2"/>
  <c r="I60" i="2"/>
  <c r="J60" i="2"/>
  <c r="D61" i="2"/>
  <c r="E61" i="2"/>
  <c r="F61" i="2"/>
  <c r="G61" i="2"/>
  <c r="H61" i="2"/>
  <c r="I61" i="2"/>
  <c r="J61" i="2"/>
  <c r="D62" i="2"/>
  <c r="E62" i="2"/>
  <c r="F62" i="2"/>
  <c r="G62" i="2"/>
  <c r="H62" i="2"/>
  <c r="I62" i="2"/>
  <c r="J62" i="2"/>
  <c r="D63" i="2"/>
  <c r="E63" i="2"/>
  <c r="F63" i="2"/>
  <c r="G63" i="2"/>
  <c r="H63" i="2"/>
  <c r="I63" i="2"/>
  <c r="J63" i="2"/>
  <c r="D64" i="2"/>
  <c r="E64" i="2"/>
  <c r="F64" i="2"/>
  <c r="G64" i="2"/>
  <c r="H64" i="2"/>
  <c r="I64" i="2"/>
  <c r="J64" i="2"/>
  <c r="D65" i="2"/>
  <c r="E65" i="2"/>
  <c r="F65" i="2"/>
  <c r="G65" i="2"/>
  <c r="H65" i="2"/>
  <c r="I65" i="2"/>
  <c r="J65" i="2"/>
  <c r="D66" i="2"/>
  <c r="E66" i="2"/>
  <c r="F66" i="2"/>
  <c r="G66" i="2"/>
  <c r="H66" i="2"/>
  <c r="I66" i="2"/>
  <c r="J66" i="2"/>
  <c r="D67" i="2"/>
  <c r="E67" i="2"/>
  <c r="F67" i="2"/>
  <c r="G67" i="2"/>
  <c r="H67" i="2"/>
  <c r="I67" i="2"/>
  <c r="J67" i="2"/>
  <c r="D68" i="2"/>
  <c r="E68" i="2"/>
  <c r="F68" i="2"/>
  <c r="G68" i="2"/>
  <c r="H68" i="2"/>
  <c r="I68" i="2"/>
  <c r="J68" i="2"/>
  <c r="D69" i="2"/>
  <c r="E69" i="2"/>
  <c r="F69" i="2"/>
  <c r="G69" i="2"/>
  <c r="H69" i="2"/>
  <c r="I69" i="2"/>
  <c r="J69" i="2"/>
  <c r="D70" i="2"/>
  <c r="E70" i="2"/>
  <c r="F70" i="2"/>
  <c r="G70" i="2"/>
  <c r="H70" i="2"/>
  <c r="I70" i="2"/>
  <c r="J70" i="2"/>
  <c r="D71" i="2"/>
  <c r="E71" i="2"/>
  <c r="F71" i="2"/>
  <c r="G71" i="2"/>
  <c r="H71" i="2"/>
  <c r="I71" i="2"/>
  <c r="J71" i="2"/>
  <c r="D72" i="2"/>
  <c r="E72" i="2"/>
  <c r="F72" i="2"/>
  <c r="G72" i="2"/>
  <c r="H72" i="2"/>
  <c r="I72" i="2"/>
  <c r="J72" i="2"/>
  <c r="D73" i="2"/>
  <c r="E73" i="2"/>
  <c r="F73" i="2"/>
  <c r="G73" i="2"/>
  <c r="H73" i="2"/>
  <c r="I73" i="2"/>
  <c r="J73" i="2"/>
  <c r="D74" i="2"/>
  <c r="E74" i="2"/>
  <c r="F74" i="2"/>
  <c r="G74" i="2"/>
  <c r="H74" i="2"/>
  <c r="I74" i="2"/>
  <c r="J74" i="2"/>
  <c r="D75" i="2"/>
  <c r="E75" i="2"/>
  <c r="F75" i="2"/>
  <c r="G75" i="2"/>
  <c r="H75" i="2"/>
  <c r="I75" i="2"/>
  <c r="J75" i="2"/>
  <c r="D76" i="2"/>
  <c r="E76" i="2"/>
  <c r="F76" i="2"/>
  <c r="G76" i="2"/>
  <c r="H76" i="2"/>
  <c r="I76" i="2"/>
  <c r="J76" i="2"/>
  <c r="D77" i="2"/>
  <c r="E77" i="2"/>
  <c r="F77" i="2"/>
  <c r="G77" i="2"/>
  <c r="H77" i="2"/>
  <c r="I77" i="2"/>
  <c r="J77" i="2"/>
  <c r="D78" i="2"/>
  <c r="E78" i="2"/>
  <c r="F78" i="2"/>
  <c r="G78" i="2"/>
  <c r="H78" i="2"/>
  <c r="I78" i="2"/>
  <c r="J78" i="2"/>
  <c r="D79" i="2"/>
  <c r="E79" i="2"/>
  <c r="F79" i="2"/>
  <c r="G79" i="2"/>
  <c r="H79" i="2"/>
  <c r="I79" i="2"/>
  <c r="J79" i="2"/>
  <c r="D80" i="2"/>
  <c r="E80" i="2"/>
  <c r="F80" i="2"/>
  <c r="G80" i="2"/>
  <c r="H80" i="2"/>
  <c r="I80" i="2"/>
  <c r="J80" i="2"/>
  <c r="D81" i="2"/>
  <c r="E81" i="2"/>
  <c r="F81" i="2"/>
  <c r="G81" i="2"/>
  <c r="H81" i="2"/>
  <c r="I81" i="2"/>
  <c r="J81" i="2"/>
  <c r="D82" i="2"/>
  <c r="E82" i="2"/>
  <c r="F82" i="2"/>
  <c r="G82" i="2"/>
  <c r="H82" i="2"/>
  <c r="I82" i="2"/>
  <c r="J82" i="2"/>
  <c r="D83" i="2"/>
  <c r="E83" i="2"/>
  <c r="F83" i="2"/>
  <c r="G83" i="2"/>
  <c r="H83" i="2"/>
  <c r="I83" i="2"/>
  <c r="J83" i="2"/>
  <c r="D84" i="2"/>
  <c r="E84" i="2"/>
  <c r="F84" i="2"/>
  <c r="G84" i="2"/>
  <c r="H84" i="2"/>
  <c r="I84" i="2"/>
  <c r="J84" i="2"/>
  <c r="D85" i="2"/>
  <c r="E85" i="2"/>
  <c r="F85" i="2"/>
  <c r="G85" i="2"/>
  <c r="H85" i="2"/>
  <c r="I85" i="2"/>
  <c r="J85" i="2"/>
  <c r="J9" i="2"/>
  <c r="I9" i="2"/>
  <c r="H9" i="2"/>
  <c r="G9" i="2"/>
  <c r="F9" i="2"/>
  <c r="E9" i="2"/>
  <c r="D9" i="1"/>
  <c r="E9" i="1"/>
  <c r="F9" i="1"/>
  <c r="G9" i="1"/>
  <c r="I9" i="1"/>
  <c r="J9" i="1"/>
  <c r="K9" i="1" l="1"/>
  <c r="L9" i="1" s="1"/>
  <c r="M9" i="1" s="1"/>
  <c r="K84" i="2"/>
  <c r="L84" i="2" s="1"/>
  <c r="M84" i="2" s="1"/>
  <c r="K76" i="2"/>
  <c r="L76" i="2" s="1"/>
  <c r="M76" i="2" s="1"/>
  <c r="K68" i="2"/>
  <c r="L68" i="2" s="1"/>
  <c r="M68" i="2" s="1"/>
  <c r="K28" i="2"/>
  <c r="L28" i="2" s="1"/>
  <c r="M28" i="2" s="1"/>
  <c r="K20" i="2"/>
  <c r="L20" i="2" s="1"/>
  <c r="M20" i="2" s="1"/>
  <c r="K12" i="2"/>
  <c r="L12" i="2" s="1"/>
  <c r="M12" i="2" s="1"/>
  <c r="K78" i="2"/>
  <c r="L78" i="2" s="1"/>
  <c r="M78" i="2" s="1"/>
  <c r="K70" i="2"/>
  <c r="L70" i="2" s="1"/>
  <c r="M70" i="2" s="1"/>
  <c r="K62" i="2"/>
  <c r="L62" i="2" s="1"/>
  <c r="M62" i="2" s="1"/>
  <c r="K60" i="2"/>
  <c r="L60" i="2" s="1"/>
  <c r="M60" i="2" s="1"/>
  <c r="K54" i="2"/>
  <c r="L54" i="2" s="1"/>
  <c r="M54" i="2" s="1"/>
  <c r="K43" i="2"/>
  <c r="L43" i="2" s="1"/>
  <c r="M43" i="2" s="1"/>
  <c r="K35" i="2"/>
  <c r="L35" i="2" s="1"/>
  <c r="M35" i="2" s="1"/>
  <c r="K30" i="2"/>
  <c r="L30" i="2" s="1"/>
  <c r="M30" i="2" s="1"/>
  <c r="K22" i="2"/>
  <c r="L22" i="2" s="1"/>
  <c r="M22" i="2" s="1"/>
  <c r="K11" i="2"/>
  <c r="L11" i="2" s="1"/>
  <c r="M11" i="2" s="1"/>
  <c r="K44" i="2"/>
  <c r="L44" i="2" s="1"/>
  <c r="M44" i="2" s="1"/>
  <c r="K36" i="2"/>
  <c r="L36" i="2" s="1"/>
  <c r="M36" i="2" s="1"/>
  <c r="K83" i="2"/>
  <c r="L83" i="2" s="1"/>
  <c r="M83" i="2" s="1"/>
  <c r="K75" i="2"/>
  <c r="L75" i="2" s="1"/>
  <c r="M75" i="2" s="1"/>
  <c r="K67" i="2"/>
  <c r="L67" i="2" s="1"/>
  <c r="M67" i="2" s="1"/>
  <c r="K59" i="2"/>
  <c r="L59" i="2" s="1"/>
  <c r="M59" i="2" s="1"/>
  <c r="K51" i="2"/>
  <c r="L51" i="2" s="1"/>
  <c r="M51" i="2" s="1"/>
  <c r="K46" i="2"/>
  <c r="L46" i="2" s="1"/>
  <c r="M46" i="2" s="1"/>
  <c r="K38" i="2"/>
  <c r="L38" i="2" s="1"/>
  <c r="M38" i="2" s="1"/>
  <c r="K27" i="2"/>
  <c r="L27" i="2" s="1"/>
  <c r="M27" i="2" s="1"/>
  <c r="K19" i="2"/>
  <c r="L19" i="2" s="1"/>
  <c r="M19" i="2" s="1"/>
  <c r="K14" i="2"/>
  <c r="L14" i="2" s="1"/>
  <c r="M14" i="2" s="1"/>
  <c r="K52" i="2"/>
  <c r="L52" i="2" s="1"/>
  <c r="M52" i="2" s="1"/>
  <c r="K74" i="2"/>
  <c r="L74" i="2" s="1"/>
  <c r="M74" i="2" s="1"/>
  <c r="K55" i="2"/>
  <c r="L55" i="2" s="1"/>
  <c r="M55" i="2" s="1"/>
  <c r="K50" i="2"/>
  <c r="L50" i="2" s="1"/>
  <c r="M50" i="2" s="1"/>
  <c r="K47" i="2"/>
  <c r="L47" i="2" s="1"/>
  <c r="M47" i="2" s="1"/>
  <c r="K39" i="2"/>
  <c r="L39" i="2" s="1"/>
  <c r="M39" i="2" s="1"/>
  <c r="K34" i="2"/>
  <c r="L34" i="2" s="1"/>
  <c r="M34" i="2" s="1"/>
  <c r="K31" i="2"/>
  <c r="L31" i="2" s="1"/>
  <c r="M31" i="2" s="1"/>
  <c r="K26" i="2"/>
  <c r="L26" i="2" s="1"/>
  <c r="M26" i="2" s="1"/>
  <c r="K10" i="2"/>
  <c r="L10" i="2" s="1"/>
  <c r="M10" i="2" s="1"/>
  <c r="K9" i="2"/>
  <c r="M9" i="2" s="1"/>
  <c r="K80" i="2"/>
  <c r="L80" i="2" s="1"/>
  <c r="M80" i="2" s="1"/>
  <c r="K73" i="2"/>
  <c r="L73" i="2" s="1"/>
  <c r="M73" i="2" s="1"/>
  <c r="K65" i="2"/>
  <c r="L65" i="2" s="1"/>
  <c r="M65" i="2" s="1"/>
  <c r="K56" i="2"/>
  <c r="L56" i="2" s="1"/>
  <c r="M56" i="2" s="1"/>
  <c r="K49" i="2"/>
  <c r="L49" i="2" s="1"/>
  <c r="M49" i="2" s="1"/>
  <c r="K41" i="2"/>
  <c r="L41" i="2" s="1"/>
  <c r="M41" i="2" s="1"/>
  <c r="K32" i="2"/>
  <c r="L32" i="2" s="1"/>
  <c r="M32" i="2" s="1"/>
  <c r="K24" i="2"/>
  <c r="L24" i="2" s="1"/>
  <c r="M24" i="2" s="1"/>
  <c r="K16" i="2"/>
  <c r="L16" i="2" s="1"/>
  <c r="M16" i="2" s="1"/>
  <c r="K82" i="2"/>
  <c r="L82" i="2" s="1"/>
  <c r="M82" i="2" s="1"/>
  <c r="K79" i="2"/>
  <c r="L79" i="2" s="1"/>
  <c r="M79" i="2" s="1"/>
  <c r="K71" i="2"/>
  <c r="L71" i="2" s="1"/>
  <c r="M71" i="2" s="1"/>
  <c r="K66" i="2"/>
  <c r="L66" i="2" s="1"/>
  <c r="M66" i="2" s="1"/>
  <c r="K63" i="2"/>
  <c r="L63" i="2" s="1"/>
  <c r="M63" i="2" s="1"/>
  <c r="K58" i="2"/>
  <c r="L58" i="2" s="1"/>
  <c r="M58" i="2" s="1"/>
  <c r="K42" i="2"/>
  <c r="L42" i="2" s="1"/>
  <c r="M42" i="2" s="1"/>
  <c r="K23" i="2"/>
  <c r="L23" i="2" s="1"/>
  <c r="M23" i="2" s="1"/>
  <c r="K18" i="2"/>
  <c r="L18" i="2" s="1"/>
  <c r="M18" i="2" s="1"/>
  <c r="K15" i="2"/>
  <c r="L15" i="2" s="1"/>
  <c r="M15" i="2" s="1"/>
  <c r="K81" i="2"/>
  <c r="L81" i="2" s="1"/>
  <c r="M81" i="2" s="1"/>
  <c r="K72" i="2"/>
  <c r="L72" i="2" s="1"/>
  <c r="M72" i="2" s="1"/>
  <c r="K64" i="2"/>
  <c r="L64" i="2" s="1"/>
  <c r="M64" i="2" s="1"/>
  <c r="K57" i="2"/>
  <c r="L57" i="2" s="1"/>
  <c r="M57" i="2" s="1"/>
  <c r="K48" i="2"/>
  <c r="L48" i="2" s="1"/>
  <c r="M48" i="2" s="1"/>
  <c r="K40" i="2"/>
  <c r="L40" i="2" s="1"/>
  <c r="M40" i="2" s="1"/>
  <c r="K33" i="2"/>
  <c r="L33" i="2" s="1"/>
  <c r="M33" i="2" s="1"/>
  <c r="K25" i="2"/>
  <c r="L25" i="2" s="1"/>
  <c r="M25" i="2" s="1"/>
  <c r="K17" i="2"/>
  <c r="L17" i="2" s="1"/>
  <c r="M17" i="2" s="1"/>
  <c r="K85" i="2"/>
  <c r="L85" i="2" s="1"/>
  <c r="M85" i="2" s="1"/>
  <c r="K77" i="2"/>
  <c r="L77" i="2" s="1"/>
  <c r="M77" i="2" s="1"/>
  <c r="K69" i="2"/>
  <c r="L69" i="2" s="1"/>
  <c r="M69" i="2" s="1"/>
  <c r="K61" i="2"/>
  <c r="L61" i="2" s="1"/>
  <c r="M61" i="2" s="1"/>
  <c r="K53" i="2"/>
  <c r="L53" i="2" s="1"/>
  <c r="M53" i="2" s="1"/>
  <c r="K45" i="2"/>
  <c r="L45" i="2" s="1"/>
  <c r="M45" i="2" s="1"/>
  <c r="K37" i="2"/>
  <c r="L37" i="2" s="1"/>
  <c r="M37" i="2" s="1"/>
  <c r="K29" i="2"/>
  <c r="L29" i="2" s="1"/>
  <c r="M29" i="2" s="1"/>
  <c r="K21" i="2"/>
  <c r="L21" i="2" s="1"/>
  <c r="M21" i="2" s="1"/>
  <c r="K13" i="2"/>
  <c r="L13" i="2" s="1"/>
  <c r="M13" i="2" s="1"/>
  <c r="P20" i="1"/>
  <c r="Q20" i="1" s="1"/>
  <c r="P19" i="1"/>
  <c r="Q19" i="1" s="1"/>
  <c r="P18" i="1"/>
  <c r="Q18" i="1" s="1"/>
  <c r="P17" i="1"/>
  <c r="Q17" i="1" s="1"/>
  <c r="P16" i="1"/>
  <c r="Q16" i="1" s="1"/>
  <c r="P15" i="1"/>
  <c r="Q15" i="1" s="1"/>
  <c r="P14" i="1"/>
  <c r="Q14" i="1" s="1"/>
  <c r="P13" i="1"/>
  <c r="Q13" i="1" s="1"/>
  <c r="P12" i="1"/>
  <c r="Q12" i="1" s="1"/>
  <c r="P11" i="1"/>
  <c r="Q11" i="1" s="1"/>
  <c r="M3" i="2" l="1"/>
  <c r="P10" i="1"/>
  <c r="Q10" i="1" s="1"/>
  <c r="P9" i="1"/>
  <c r="Q9" i="1" s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K30" i="1" l="1"/>
  <c r="L30" i="1" s="1"/>
  <c r="M30" i="1" s="1"/>
  <c r="K28" i="1"/>
  <c r="L28" i="1" s="1"/>
  <c r="M28" i="1" s="1"/>
  <c r="K83" i="1"/>
  <c r="L83" i="1" s="1"/>
  <c r="M83" i="1" s="1"/>
  <c r="K77" i="1"/>
  <c r="L77" i="1" s="1"/>
  <c r="M77" i="1" s="1"/>
  <c r="K60" i="1"/>
  <c r="L60" i="1" s="1"/>
  <c r="M60" i="1" s="1"/>
  <c r="Q21" i="1"/>
  <c r="K85" i="1"/>
  <c r="L85" i="1" s="1"/>
  <c r="M85" i="1" s="1"/>
  <c r="K81" i="1"/>
  <c r="L81" i="1" s="1"/>
  <c r="M81" i="1" s="1"/>
  <c r="K69" i="1"/>
  <c r="L69" i="1" s="1"/>
  <c r="M69" i="1" s="1"/>
  <c r="K61" i="1"/>
  <c r="L61" i="1" s="1"/>
  <c r="M61" i="1" s="1"/>
  <c r="K53" i="1"/>
  <c r="L53" i="1" s="1"/>
  <c r="M53" i="1" s="1"/>
  <c r="K49" i="1"/>
  <c r="L49" i="1" s="1"/>
  <c r="M49" i="1" s="1"/>
  <c r="K46" i="1"/>
  <c r="L46" i="1" s="1"/>
  <c r="M46" i="1" s="1"/>
  <c r="K45" i="1"/>
  <c r="L45" i="1" s="1"/>
  <c r="M45" i="1" s="1"/>
  <c r="K43" i="1"/>
  <c r="L43" i="1" s="1"/>
  <c r="M43" i="1" s="1"/>
  <c r="K42" i="1"/>
  <c r="L42" i="1" s="1"/>
  <c r="M42" i="1" s="1"/>
  <c r="K40" i="1"/>
  <c r="L40" i="1" s="1"/>
  <c r="M40" i="1" s="1"/>
  <c r="K37" i="1"/>
  <c r="L37" i="1" s="1"/>
  <c r="M37" i="1" s="1"/>
  <c r="K29" i="1"/>
  <c r="L29" i="1" s="1"/>
  <c r="M29" i="1" s="1"/>
  <c r="K26" i="1"/>
  <c r="L26" i="1" s="1"/>
  <c r="M26" i="1" s="1"/>
  <c r="K23" i="1"/>
  <c r="L23" i="1" s="1"/>
  <c r="M23" i="1" s="1"/>
  <c r="K21" i="1"/>
  <c r="L21" i="1" s="1"/>
  <c r="M21" i="1" s="1"/>
  <c r="K19" i="1"/>
  <c r="L19" i="1" s="1"/>
  <c r="M19" i="1" s="1"/>
  <c r="K17" i="1"/>
  <c r="L17" i="1" s="1"/>
  <c r="M17" i="1" s="1"/>
  <c r="K13" i="1"/>
  <c r="L13" i="1" s="1"/>
  <c r="M13" i="1" s="1"/>
  <c r="K72" i="1"/>
  <c r="L72" i="1" s="1"/>
  <c r="M72" i="1" s="1"/>
  <c r="K76" i="1"/>
  <c r="L76" i="1" s="1"/>
  <c r="M76" i="1" s="1"/>
  <c r="K68" i="1"/>
  <c r="L68" i="1" s="1"/>
  <c r="M68" i="1" s="1"/>
  <c r="K44" i="1"/>
  <c r="L44" i="1" s="1"/>
  <c r="M44" i="1" s="1"/>
  <c r="K79" i="1"/>
  <c r="L79" i="1" s="1"/>
  <c r="M79" i="1" s="1"/>
  <c r="K82" i="1"/>
  <c r="L82" i="1" s="1"/>
  <c r="M82" i="1" s="1"/>
  <c r="K78" i="1"/>
  <c r="L78" i="1" s="1"/>
  <c r="M78" i="1" s="1"/>
  <c r="K71" i="1"/>
  <c r="L71" i="1" s="1"/>
  <c r="M71" i="1" s="1"/>
  <c r="K70" i="1"/>
  <c r="L70" i="1" s="1"/>
  <c r="M70" i="1" s="1"/>
  <c r="K67" i="1"/>
  <c r="L67" i="1" s="1"/>
  <c r="M67" i="1" s="1"/>
  <c r="K66" i="1"/>
  <c r="L66" i="1" s="1"/>
  <c r="M66" i="1" s="1"/>
  <c r="K64" i="1"/>
  <c r="L64" i="1" s="1"/>
  <c r="M64" i="1" s="1"/>
  <c r="K62" i="1"/>
  <c r="L62" i="1" s="1"/>
  <c r="M62" i="1" s="1"/>
  <c r="K55" i="1"/>
  <c r="L55" i="1" s="1"/>
  <c r="M55" i="1" s="1"/>
  <c r="K54" i="1"/>
  <c r="L54" i="1" s="1"/>
  <c r="M54" i="1" s="1"/>
  <c r="K38" i="1"/>
  <c r="L38" i="1" s="1"/>
  <c r="M38" i="1" s="1"/>
  <c r="K32" i="1"/>
  <c r="L32" i="1" s="1"/>
  <c r="M32" i="1" s="1"/>
  <c r="K22" i="1"/>
  <c r="L22" i="1" s="1"/>
  <c r="M22" i="1" s="1"/>
  <c r="K15" i="1"/>
  <c r="L15" i="1" s="1"/>
  <c r="M15" i="1" s="1"/>
  <c r="K14" i="1"/>
  <c r="L14" i="1" s="1"/>
  <c r="M14" i="1" s="1"/>
  <c r="K84" i="1"/>
  <c r="L84" i="1" s="1"/>
  <c r="M84" i="1" s="1"/>
  <c r="K73" i="1"/>
  <c r="L73" i="1" s="1"/>
  <c r="M73" i="1" s="1"/>
  <c r="K63" i="1"/>
  <c r="L63" i="1" s="1"/>
  <c r="M63" i="1" s="1"/>
  <c r="K52" i="1"/>
  <c r="L52" i="1" s="1"/>
  <c r="M52" i="1" s="1"/>
  <c r="K47" i="1"/>
  <c r="L47" i="1" s="1"/>
  <c r="M47" i="1" s="1"/>
  <c r="K41" i="1"/>
  <c r="L41" i="1" s="1"/>
  <c r="M41" i="1" s="1"/>
  <c r="K39" i="1"/>
  <c r="L39" i="1" s="1"/>
  <c r="M39" i="1" s="1"/>
  <c r="K31" i="1"/>
  <c r="L31" i="1" s="1"/>
  <c r="M31" i="1" s="1"/>
  <c r="K27" i="1"/>
  <c r="L27" i="1" s="1"/>
  <c r="M27" i="1" s="1"/>
  <c r="K20" i="1"/>
  <c r="L20" i="1" s="1"/>
  <c r="M20" i="1" s="1"/>
  <c r="K10" i="1"/>
  <c r="L10" i="1" s="1"/>
  <c r="M10" i="1" s="1"/>
  <c r="K80" i="1"/>
  <c r="L80" i="1" s="1"/>
  <c r="M80" i="1" s="1"/>
  <c r="K56" i="1"/>
  <c r="L56" i="1" s="1"/>
  <c r="M56" i="1" s="1"/>
  <c r="K51" i="1"/>
  <c r="L51" i="1" s="1"/>
  <c r="M51" i="1" s="1"/>
  <c r="K50" i="1"/>
  <c r="L50" i="1" s="1"/>
  <c r="M50" i="1" s="1"/>
  <c r="K48" i="1"/>
  <c r="L48" i="1" s="1"/>
  <c r="M48" i="1" s="1"/>
  <c r="K34" i="1"/>
  <c r="L34" i="1" s="1"/>
  <c r="M34" i="1" s="1"/>
  <c r="K24" i="1"/>
  <c r="L24" i="1" s="1"/>
  <c r="M24" i="1" s="1"/>
  <c r="K16" i="1"/>
  <c r="L16" i="1" s="1"/>
  <c r="M16" i="1" s="1"/>
  <c r="K25" i="1"/>
  <c r="L25" i="1" s="1"/>
  <c r="M25" i="1" s="1"/>
  <c r="K65" i="1"/>
  <c r="L65" i="1" s="1"/>
  <c r="M65" i="1" s="1"/>
  <c r="K59" i="1"/>
  <c r="L59" i="1" s="1"/>
  <c r="M59" i="1" s="1"/>
  <c r="K58" i="1"/>
  <c r="L58" i="1" s="1"/>
  <c r="M58" i="1" s="1"/>
  <c r="K57" i="1"/>
  <c r="L57" i="1" s="1"/>
  <c r="M57" i="1" s="1"/>
  <c r="K36" i="1"/>
  <c r="L36" i="1" s="1"/>
  <c r="M36" i="1" s="1"/>
  <c r="K35" i="1"/>
  <c r="L35" i="1" s="1"/>
  <c r="M35" i="1" s="1"/>
  <c r="K33" i="1"/>
  <c r="L33" i="1" s="1"/>
  <c r="M33" i="1" s="1"/>
  <c r="K18" i="1"/>
  <c r="L18" i="1" s="1"/>
  <c r="M18" i="1" s="1"/>
  <c r="K12" i="1"/>
  <c r="L12" i="1" s="1"/>
  <c r="M12" i="1" s="1"/>
  <c r="K11" i="1"/>
  <c r="L11" i="1" s="1"/>
  <c r="M11" i="1" s="1"/>
  <c r="K75" i="1"/>
  <c r="L75" i="1" s="1"/>
  <c r="M75" i="1" s="1"/>
  <c r="K74" i="1"/>
  <c r="L74" i="1" s="1"/>
  <c r="M74" i="1" s="1"/>
  <c r="L3" i="1" l="1"/>
</calcChain>
</file>

<file path=xl/sharedStrings.xml><?xml version="1.0" encoding="utf-8"?>
<sst xmlns="http://schemas.openxmlformats.org/spreadsheetml/2006/main" count="88" uniqueCount="35">
  <si>
    <t>Jio sells- Internet, DTH services and Cell Phones. They offer following plans</t>
  </si>
  <si>
    <t>Plan</t>
  </si>
  <si>
    <t>Offer</t>
  </si>
  <si>
    <t>Internet</t>
  </si>
  <si>
    <t>TV</t>
  </si>
  <si>
    <t>Cell Phone</t>
  </si>
  <si>
    <t>Internet + TV</t>
  </si>
  <si>
    <t>Internet + Cell Phone</t>
  </si>
  <si>
    <t>TV + Cell Phone</t>
  </si>
  <si>
    <t>All Three</t>
  </si>
  <si>
    <t>Find Optimal Bundle Price</t>
  </si>
  <si>
    <t>Price</t>
  </si>
  <si>
    <t>Price Willing to Pay</t>
  </si>
  <si>
    <t>Consumer Surplus = Price Willing to Pay - Actual Price</t>
  </si>
  <si>
    <t>Max. Comsumer Surplus</t>
  </si>
  <si>
    <t>Plan Purchased</t>
  </si>
  <si>
    <t>Revenue</t>
  </si>
  <si>
    <t>Total Revenue</t>
  </si>
  <si>
    <t>Price Reversal Cases</t>
  </si>
  <si>
    <t>Difference</t>
  </si>
  <si>
    <t>i-(i+tv)</t>
  </si>
  <si>
    <t>i-(i+c)</t>
  </si>
  <si>
    <t>i-(all 3)</t>
  </si>
  <si>
    <t>t-(i+t)</t>
  </si>
  <si>
    <t>t-(c+t)</t>
  </si>
  <si>
    <t>t-(all 3)</t>
  </si>
  <si>
    <t>c-(c+t)</t>
  </si>
  <si>
    <t>c-(c+i)</t>
  </si>
  <si>
    <t>c-(all 3)</t>
  </si>
  <si>
    <t>(i+t)- all</t>
  </si>
  <si>
    <t>(i+c)-all</t>
  </si>
  <si>
    <t>(t+c)-all</t>
  </si>
  <si>
    <t>Penalty Scores</t>
  </si>
  <si>
    <t>TOTAL</t>
  </si>
  <si>
    <t>Max Consumer 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</si>
</sst>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center"/>
    </xf>
    <xf numFmtId="2" fontId="2" fillId="2" borderId="6" xfId="0" applyNumberFormat="1" applyFont="1" applyFill="1" applyBorder="1" applyAlignment="1">
      <alignment horizontal="center"/>
    </xf>
    <xf numFmtId="2" fontId="2" fillId="2" borderId="7" xfId="0" applyNumberFormat="1" applyFont="1" applyFill="1" applyBorder="1" applyAlignment="1">
      <alignment horizontal="center"/>
    </xf>
    <xf numFmtId="2" fontId="2" fillId="2" borderId="8" xfId="0" applyNumberFormat="1" applyFont="1" applyFill="1" applyBorder="1" applyAlignment="1">
      <alignment horizontal="center"/>
    </xf>
    <xf numFmtId="2" fontId="2" fillId="2" borderId="9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2" fontId="0" fillId="3" borderId="5" xfId="0" applyNumberFormat="1" applyFill="1" applyBorder="1" applyAlignment="1">
      <alignment wrapText="1"/>
    </xf>
    <xf numFmtId="2" fontId="0" fillId="3" borderId="4" xfId="0" applyNumberFormat="1" applyFill="1" applyBorder="1" applyAlignment="1">
      <alignment wrapText="1"/>
    </xf>
    <xf numFmtId="2" fontId="0" fillId="3" borderId="7" xfId="0" applyNumberFormat="1" applyFill="1" applyBorder="1" applyAlignment="1">
      <alignment wrapText="1"/>
    </xf>
    <xf numFmtId="2" fontId="0" fillId="3" borderId="6" xfId="0" applyNumberFormat="1" applyFill="1" applyBorder="1" applyAlignment="1">
      <alignment wrapText="1"/>
    </xf>
    <xf numFmtId="2" fontId="0" fillId="3" borderId="9" xfId="0" applyNumberFormat="1" applyFill="1" applyBorder="1" applyAlignment="1">
      <alignment wrapText="1"/>
    </xf>
    <xf numFmtId="2" fontId="0" fillId="3" borderId="8" xfId="0" applyNumberFormat="1" applyFill="1" applyBorder="1" applyAlignment="1">
      <alignment wrapText="1"/>
    </xf>
    <xf numFmtId="0" fontId="0" fillId="4" borderId="1" xfId="0" applyFill="1" applyBorder="1" applyAlignment="1">
      <alignment horizontal="center"/>
    </xf>
    <xf numFmtId="2" fontId="0" fillId="4" borderId="5" xfId="0" applyNumberFormat="1" applyFill="1" applyBorder="1"/>
    <xf numFmtId="2" fontId="0" fillId="4" borderId="7" xfId="0" applyNumberFormat="1" applyFill="1" applyBorder="1"/>
    <xf numFmtId="2" fontId="0" fillId="4" borderId="9" xfId="0" applyNumberFormat="1" applyFill="1" applyBorder="1"/>
    <xf numFmtId="0" fontId="0" fillId="5" borderId="1" xfId="0" applyFill="1" applyBorder="1" applyAlignment="1">
      <alignment horizontal="center"/>
    </xf>
    <xf numFmtId="0" fontId="0" fillId="5" borderId="5" xfId="0" applyFill="1" applyBorder="1"/>
    <xf numFmtId="0" fontId="0" fillId="5" borderId="7" xfId="0" applyFill="1" applyBorder="1"/>
    <xf numFmtId="0" fontId="0" fillId="5" borderId="9" xfId="0" applyFill="1" applyBorder="1"/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0" fillId="7" borderId="5" xfId="0" applyFill="1" applyBorder="1"/>
    <xf numFmtId="0" fontId="0" fillId="7" borderId="7" xfId="0" applyFill="1" applyBorder="1"/>
    <xf numFmtId="0" fontId="0" fillId="7" borderId="7" xfId="0" applyFill="1" applyBorder="1" applyAlignment="1">
      <alignment wrapText="1"/>
    </xf>
    <xf numFmtId="0" fontId="0" fillId="7" borderId="9" xfId="0" applyFill="1" applyBorder="1" applyAlignment="1">
      <alignment wrapText="1"/>
    </xf>
    <xf numFmtId="0" fontId="0" fillId="7" borderId="9" xfId="0" applyFill="1" applyBorder="1"/>
    <xf numFmtId="0" fontId="3" fillId="7" borderId="10" xfId="0" applyFont="1" applyFill="1" applyBorder="1"/>
    <xf numFmtId="0" fontId="3" fillId="7" borderId="11" xfId="0" applyFont="1" applyFill="1" applyBorder="1"/>
    <xf numFmtId="0" fontId="3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2" fontId="0" fillId="6" borderId="5" xfId="0" applyNumberFormat="1" applyFill="1" applyBorder="1"/>
    <xf numFmtId="2" fontId="0" fillId="6" borderId="7" xfId="0" applyNumberFormat="1" applyFill="1" applyBorder="1"/>
    <xf numFmtId="2" fontId="0" fillId="6" borderId="9" xfId="0" applyNumberFormat="1" applyFill="1" applyBorder="1"/>
    <xf numFmtId="2" fontId="0" fillId="7" borderId="1" xfId="0" applyNumberFormat="1" applyFill="1" applyBorder="1" applyAlignment="1">
      <alignment horizontal="center"/>
    </xf>
    <xf numFmtId="2" fontId="0" fillId="7" borderId="5" xfId="0" applyNumberFormat="1" applyFill="1" applyBorder="1"/>
    <xf numFmtId="2" fontId="0" fillId="7" borderId="7" xfId="0" applyNumberFormat="1" applyFill="1" applyBorder="1"/>
    <xf numFmtId="2" fontId="0" fillId="7" borderId="9" xfId="0" applyNumberFormat="1" applyFill="1" applyBorder="1"/>
    <xf numFmtId="0" fontId="0" fillId="9" borderId="1" xfId="0" applyFill="1" applyBorder="1" applyAlignment="1">
      <alignment horizontal="center"/>
    </xf>
    <xf numFmtId="2" fontId="1" fillId="9" borderId="1" xfId="0" applyNumberFormat="1" applyFont="1" applyFill="1" applyBorder="1" applyAlignment="1">
      <alignment horizontal="center" wrapText="1"/>
    </xf>
    <xf numFmtId="0" fontId="0" fillId="0" borderId="1" xfId="0" applyBorder="1"/>
    <xf numFmtId="2" fontId="0" fillId="3" borderId="4" xfId="0" applyNumberFormat="1" applyFill="1" applyBorder="1"/>
    <xf numFmtId="2" fontId="0" fillId="3" borderId="6" xfId="0" applyNumberFormat="1" applyFill="1" applyBorder="1"/>
    <xf numFmtId="2" fontId="0" fillId="3" borderId="8" xfId="0" applyNumberFormat="1" applyFill="1" applyBorder="1"/>
    <xf numFmtId="2" fontId="0" fillId="3" borderId="5" xfId="0" applyNumberFormat="1" applyFill="1" applyBorder="1"/>
    <xf numFmtId="2" fontId="0" fillId="3" borderId="7" xfId="0" applyNumberFormat="1" applyFill="1" applyBorder="1"/>
    <xf numFmtId="2" fontId="0" fillId="3" borderId="9" xfId="0" applyNumberFormat="1" applyFill="1" applyBorder="1"/>
    <xf numFmtId="0" fontId="0" fillId="0" borderId="1" xfId="0" applyFont="1" applyBorder="1"/>
    <xf numFmtId="0" fontId="0" fillId="0" borderId="0" xfId="0" applyBorder="1"/>
    <xf numFmtId="0" fontId="1" fillId="10" borderId="1" xfId="0" applyFont="1" applyFill="1" applyBorder="1" applyAlignment="1">
      <alignment horizontal="center"/>
    </xf>
    <xf numFmtId="2" fontId="0" fillId="10" borderId="5" xfId="0" applyNumberFormat="1" applyFill="1" applyBorder="1"/>
    <xf numFmtId="2" fontId="0" fillId="10" borderId="7" xfId="0" applyNumberFormat="1" applyFill="1" applyBorder="1"/>
    <xf numFmtId="2" fontId="0" fillId="10" borderId="9" xfId="0" applyNumberFormat="1" applyFill="1" applyBorder="1"/>
    <xf numFmtId="0" fontId="1" fillId="5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11" borderId="4" xfId="0" applyFill="1" applyBorder="1"/>
    <xf numFmtId="0" fontId="0" fillId="11" borderId="6" xfId="0" applyFill="1" applyBorder="1"/>
    <xf numFmtId="0" fontId="0" fillId="11" borderId="8" xfId="0" applyFill="1" applyBorder="1"/>
    <xf numFmtId="0" fontId="1" fillId="0" borderId="1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7" borderId="1" xfId="0" applyFill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E6D8-9BB7-4870-B43C-D3680E34E1A5}">
  <dimension ref="A1:J85"/>
  <sheetViews>
    <sheetView workbookViewId="0">
      <selection activeCell="L22" sqref="L22"/>
    </sheetView>
  </sheetViews>
  <sheetFormatPr defaultRowHeight="14.4" x14ac:dyDescent="0.3"/>
  <cols>
    <col min="1" max="1" width="7.77734375" bestFit="1" customWidth="1"/>
    <col min="2" max="2" width="6.5546875" bestFit="1" customWidth="1"/>
    <col min="3" max="3" width="10.33203125" bestFit="1" customWidth="1"/>
    <col min="4" max="4" width="7.109375" bestFit="1" customWidth="1"/>
    <col min="5" max="5" width="3.21875" bestFit="1" customWidth="1"/>
    <col min="6" max="6" width="9.77734375" bestFit="1" customWidth="1"/>
    <col min="7" max="7" width="11.5546875" bestFit="1" customWidth="1"/>
    <col min="8" max="8" width="18.33203125" bestFit="1" customWidth="1"/>
    <col min="9" max="9" width="14.33203125" bestFit="1" customWidth="1"/>
    <col min="10" max="10" width="8.109375" bestFit="1" customWidth="1"/>
  </cols>
  <sheetData>
    <row r="1" spans="1:10" x14ac:dyDescent="0.3">
      <c r="A1" s="74" t="s">
        <v>0</v>
      </c>
      <c r="B1" s="74"/>
      <c r="C1" s="74"/>
      <c r="D1" s="74"/>
      <c r="E1" s="74"/>
      <c r="F1" s="74"/>
      <c r="G1" s="74"/>
      <c r="H1" s="74"/>
      <c r="I1" s="6"/>
      <c r="J1" s="6"/>
    </row>
    <row r="2" spans="1:10" x14ac:dyDescent="0.3">
      <c r="A2" s="32"/>
      <c r="B2" s="32"/>
      <c r="C2" s="2" t="s">
        <v>1</v>
      </c>
      <c r="D2" s="7">
        <v>1</v>
      </c>
      <c r="E2" s="7">
        <v>2</v>
      </c>
      <c r="F2" s="7">
        <v>3</v>
      </c>
      <c r="G2" s="7">
        <v>4</v>
      </c>
      <c r="H2" s="7">
        <v>5</v>
      </c>
      <c r="I2" s="7">
        <v>6</v>
      </c>
      <c r="J2" s="7">
        <v>7</v>
      </c>
    </row>
    <row r="3" spans="1:10" x14ac:dyDescent="0.3">
      <c r="A3" s="32"/>
      <c r="B3" s="32"/>
      <c r="C3" s="2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1:10" x14ac:dyDescent="0.3">
      <c r="C4" s="53" t="s">
        <v>11</v>
      </c>
      <c r="D4" s="53">
        <v>10</v>
      </c>
      <c r="E4" s="53">
        <v>12</v>
      </c>
      <c r="F4" s="53">
        <v>14</v>
      </c>
      <c r="G4" s="53">
        <v>25</v>
      </c>
      <c r="H4" s="53">
        <v>36</v>
      </c>
      <c r="I4" s="53">
        <v>28</v>
      </c>
      <c r="J4" s="53">
        <v>50</v>
      </c>
    </row>
    <row r="5" spans="1:10" x14ac:dyDescent="0.3">
      <c r="A5" s="75" t="s">
        <v>10</v>
      </c>
      <c r="B5" s="75"/>
      <c r="C5" s="76"/>
    </row>
    <row r="6" spans="1:10" x14ac:dyDescent="0.3">
      <c r="A6" s="5"/>
      <c r="B6" s="5"/>
      <c r="C6" s="5"/>
    </row>
    <row r="7" spans="1:10" x14ac:dyDescent="0.3">
      <c r="A7" s="77" t="s">
        <v>12</v>
      </c>
      <c r="B7" s="77"/>
      <c r="C7" s="77"/>
    </row>
    <row r="8" spans="1:10" x14ac:dyDescent="0.3">
      <c r="A8" s="9" t="s">
        <v>3</v>
      </c>
      <c r="B8" s="9" t="s">
        <v>4</v>
      </c>
      <c r="C8" s="9" t="s">
        <v>5</v>
      </c>
    </row>
    <row r="9" spans="1:10" x14ac:dyDescent="0.3">
      <c r="A9" s="10">
        <v>3.5</v>
      </c>
      <c r="B9" s="11">
        <v>7</v>
      </c>
      <c r="C9" s="11">
        <v>3.5</v>
      </c>
    </row>
    <row r="10" spans="1:10" x14ac:dyDescent="0.3">
      <c r="A10" s="12">
        <v>17.5</v>
      </c>
      <c r="B10" s="13">
        <v>35</v>
      </c>
      <c r="C10" s="13">
        <v>3.5</v>
      </c>
    </row>
    <row r="11" spans="1:10" x14ac:dyDescent="0.3">
      <c r="A11" s="12">
        <v>28</v>
      </c>
      <c r="B11" s="13">
        <v>28</v>
      </c>
      <c r="C11" s="13">
        <v>49</v>
      </c>
    </row>
    <row r="12" spans="1:10" x14ac:dyDescent="0.3">
      <c r="A12" s="12">
        <v>70</v>
      </c>
      <c r="B12" s="13">
        <v>70</v>
      </c>
      <c r="C12" s="13">
        <v>0</v>
      </c>
    </row>
    <row r="13" spans="1:10" x14ac:dyDescent="0.3">
      <c r="A13" s="12">
        <v>0</v>
      </c>
      <c r="B13" s="13">
        <v>7</v>
      </c>
      <c r="C13" s="13">
        <v>14</v>
      </c>
    </row>
    <row r="14" spans="1:10" x14ac:dyDescent="0.3">
      <c r="A14" s="12">
        <v>0</v>
      </c>
      <c r="B14" s="13">
        <v>70</v>
      </c>
      <c r="C14" s="13">
        <v>0</v>
      </c>
    </row>
    <row r="15" spans="1:10" x14ac:dyDescent="0.3">
      <c r="A15" s="12">
        <v>21</v>
      </c>
      <c r="B15" s="13">
        <v>35</v>
      </c>
      <c r="C15" s="13">
        <v>10.5</v>
      </c>
    </row>
    <row r="16" spans="1:10" x14ac:dyDescent="0.3">
      <c r="A16" s="12">
        <v>7</v>
      </c>
      <c r="B16" s="13">
        <v>21</v>
      </c>
      <c r="C16" s="13">
        <v>0</v>
      </c>
    </row>
    <row r="17" spans="1:3" x14ac:dyDescent="0.3">
      <c r="A17" s="12">
        <v>5.25</v>
      </c>
      <c r="B17" s="13">
        <v>7</v>
      </c>
      <c r="C17" s="13">
        <v>2.1</v>
      </c>
    </row>
    <row r="18" spans="1:3" x14ac:dyDescent="0.3">
      <c r="A18" s="12">
        <v>21</v>
      </c>
      <c r="B18" s="13">
        <v>28</v>
      </c>
      <c r="C18" s="13">
        <v>28</v>
      </c>
    </row>
    <row r="19" spans="1:3" x14ac:dyDescent="0.3">
      <c r="A19" s="12">
        <v>35</v>
      </c>
      <c r="B19" s="13">
        <v>49</v>
      </c>
      <c r="C19" s="13">
        <v>21</v>
      </c>
    </row>
    <row r="20" spans="1:3" x14ac:dyDescent="0.3">
      <c r="A20" s="12">
        <v>21</v>
      </c>
      <c r="B20" s="13">
        <v>21</v>
      </c>
      <c r="C20" s="13">
        <v>21</v>
      </c>
    </row>
    <row r="21" spans="1:3" x14ac:dyDescent="0.3">
      <c r="A21" s="12">
        <v>14</v>
      </c>
      <c r="B21" s="13">
        <v>35</v>
      </c>
      <c r="C21" s="13">
        <v>21</v>
      </c>
    </row>
    <row r="22" spans="1:3" x14ac:dyDescent="0.3">
      <c r="A22" s="12">
        <v>14</v>
      </c>
      <c r="B22" s="13">
        <v>35</v>
      </c>
      <c r="C22" s="13">
        <v>14</v>
      </c>
    </row>
    <row r="23" spans="1:3" x14ac:dyDescent="0.3">
      <c r="A23" s="12">
        <v>70</v>
      </c>
      <c r="B23" s="13">
        <v>0</v>
      </c>
      <c r="C23" s="13">
        <v>49</v>
      </c>
    </row>
    <row r="24" spans="1:3" x14ac:dyDescent="0.3">
      <c r="A24" s="12">
        <v>7</v>
      </c>
      <c r="B24" s="13">
        <v>35</v>
      </c>
      <c r="C24" s="13">
        <v>14</v>
      </c>
    </row>
    <row r="25" spans="1:3" x14ac:dyDescent="0.3">
      <c r="A25" s="12">
        <v>21</v>
      </c>
      <c r="B25" s="13">
        <v>35</v>
      </c>
      <c r="C25" s="13">
        <v>42</v>
      </c>
    </row>
    <row r="26" spans="1:3" x14ac:dyDescent="0.3">
      <c r="A26" s="12">
        <v>20.650000000000002</v>
      </c>
      <c r="B26" s="13">
        <v>34.65</v>
      </c>
      <c r="C26" s="13">
        <v>34.65</v>
      </c>
    </row>
    <row r="27" spans="1:3" x14ac:dyDescent="0.3">
      <c r="A27" s="12">
        <v>1.75</v>
      </c>
      <c r="B27" s="13">
        <v>21</v>
      </c>
      <c r="C27" s="13">
        <v>0</v>
      </c>
    </row>
    <row r="28" spans="1:3" x14ac:dyDescent="0.3">
      <c r="A28" s="12">
        <v>21</v>
      </c>
      <c r="B28" s="13">
        <v>17.5</v>
      </c>
      <c r="C28" s="13">
        <v>21</v>
      </c>
    </row>
    <row r="29" spans="1:3" x14ac:dyDescent="0.3">
      <c r="A29" s="12">
        <v>27.650000000000002</v>
      </c>
      <c r="B29" s="13">
        <v>34.65</v>
      </c>
      <c r="C29" s="13">
        <v>41.65</v>
      </c>
    </row>
    <row r="30" spans="1:3" x14ac:dyDescent="0.3">
      <c r="A30" s="12">
        <v>7</v>
      </c>
      <c r="B30" s="13">
        <v>0</v>
      </c>
      <c r="C30" s="13">
        <v>28</v>
      </c>
    </row>
    <row r="31" spans="1:3" x14ac:dyDescent="0.3">
      <c r="A31" s="12">
        <v>21</v>
      </c>
      <c r="B31" s="13">
        <v>35</v>
      </c>
      <c r="C31" s="13">
        <v>10.5</v>
      </c>
    </row>
    <row r="32" spans="1:3" x14ac:dyDescent="0.3">
      <c r="A32" s="12">
        <v>27.650000000000002</v>
      </c>
      <c r="B32" s="13">
        <v>69.649999999999991</v>
      </c>
      <c r="C32" s="13">
        <v>27.650000000000002</v>
      </c>
    </row>
    <row r="33" spans="1:3" x14ac:dyDescent="0.3">
      <c r="A33" s="12">
        <v>35</v>
      </c>
      <c r="B33" s="13">
        <v>70</v>
      </c>
      <c r="C33" s="13">
        <v>35</v>
      </c>
    </row>
    <row r="34" spans="1:3" x14ac:dyDescent="0.3">
      <c r="A34" s="12">
        <v>14</v>
      </c>
      <c r="B34" s="13">
        <v>35</v>
      </c>
      <c r="C34" s="13">
        <v>7</v>
      </c>
    </row>
    <row r="35" spans="1:3" x14ac:dyDescent="0.3">
      <c r="A35" s="12">
        <v>21</v>
      </c>
      <c r="B35" s="13">
        <v>35</v>
      </c>
      <c r="C35" s="13">
        <v>28</v>
      </c>
    </row>
    <row r="36" spans="1:3" x14ac:dyDescent="0.3">
      <c r="A36" s="12">
        <v>7</v>
      </c>
      <c r="B36" s="13">
        <v>70</v>
      </c>
      <c r="C36" s="13">
        <v>0</v>
      </c>
    </row>
    <row r="37" spans="1:3" x14ac:dyDescent="0.3">
      <c r="A37" s="12">
        <v>3.5</v>
      </c>
      <c r="B37" s="13">
        <v>7</v>
      </c>
      <c r="C37" s="13">
        <v>10.5</v>
      </c>
    </row>
    <row r="38" spans="1:3" x14ac:dyDescent="0.3">
      <c r="A38" s="12">
        <v>0</v>
      </c>
      <c r="B38" s="13">
        <v>21</v>
      </c>
      <c r="C38" s="13">
        <v>14</v>
      </c>
    </row>
    <row r="39" spans="1:3" x14ac:dyDescent="0.3">
      <c r="A39" s="12">
        <v>21</v>
      </c>
      <c r="B39" s="13">
        <v>56</v>
      </c>
      <c r="C39" s="13">
        <v>35</v>
      </c>
    </row>
    <row r="40" spans="1:3" x14ac:dyDescent="0.3">
      <c r="A40" s="12">
        <v>49</v>
      </c>
      <c r="B40" s="13">
        <v>105</v>
      </c>
      <c r="C40" s="13">
        <v>0</v>
      </c>
    </row>
    <row r="41" spans="1:3" x14ac:dyDescent="0.3">
      <c r="A41" s="12">
        <v>70</v>
      </c>
      <c r="B41" s="13">
        <v>70</v>
      </c>
      <c r="C41" s="13">
        <v>140</v>
      </c>
    </row>
    <row r="42" spans="1:3" x14ac:dyDescent="0.3">
      <c r="A42" s="12">
        <v>21</v>
      </c>
      <c r="B42" s="13">
        <v>105</v>
      </c>
      <c r="C42" s="13">
        <v>14</v>
      </c>
    </row>
    <row r="43" spans="1:3" x14ac:dyDescent="0.3">
      <c r="A43" s="12">
        <v>21</v>
      </c>
      <c r="B43" s="13">
        <v>35</v>
      </c>
      <c r="C43" s="13">
        <v>14</v>
      </c>
    </row>
    <row r="44" spans="1:3" x14ac:dyDescent="0.3">
      <c r="A44" s="12">
        <v>0</v>
      </c>
      <c r="B44" s="13">
        <v>140</v>
      </c>
      <c r="C44" s="13">
        <v>0</v>
      </c>
    </row>
    <row r="45" spans="1:3" x14ac:dyDescent="0.3">
      <c r="A45" s="12">
        <v>0</v>
      </c>
      <c r="B45" s="13">
        <v>35</v>
      </c>
      <c r="C45" s="13">
        <v>0</v>
      </c>
    </row>
    <row r="46" spans="1:3" x14ac:dyDescent="0.3">
      <c r="A46" s="12">
        <v>7</v>
      </c>
      <c r="B46" s="13">
        <v>35</v>
      </c>
      <c r="C46" s="13">
        <v>21</v>
      </c>
    </row>
    <row r="47" spans="1:3" x14ac:dyDescent="0.3">
      <c r="A47" s="12">
        <v>35</v>
      </c>
      <c r="B47" s="13">
        <v>35</v>
      </c>
      <c r="C47" s="13">
        <v>35</v>
      </c>
    </row>
    <row r="48" spans="1:3" x14ac:dyDescent="0.3">
      <c r="A48" s="12">
        <v>21</v>
      </c>
      <c r="B48" s="13">
        <v>31.5</v>
      </c>
      <c r="C48" s="13">
        <v>17.5</v>
      </c>
    </row>
    <row r="49" spans="1:3" x14ac:dyDescent="0.3">
      <c r="A49" s="12">
        <v>7</v>
      </c>
      <c r="B49" s="13">
        <v>21</v>
      </c>
      <c r="C49" s="13">
        <v>7</v>
      </c>
    </row>
    <row r="50" spans="1:3" x14ac:dyDescent="0.3">
      <c r="A50" s="12">
        <v>35</v>
      </c>
      <c r="B50" s="13">
        <v>35</v>
      </c>
      <c r="C50" s="13">
        <v>35</v>
      </c>
    </row>
    <row r="51" spans="1:3" x14ac:dyDescent="0.3">
      <c r="A51" s="12">
        <v>28</v>
      </c>
      <c r="B51" s="13">
        <v>70</v>
      </c>
      <c r="C51" s="13">
        <v>70</v>
      </c>
    </row>
    <row r="52" spans="1:3" x14ac:dyDescent="0.3">
      <c r="A52" s="12">
        <v>21</v>
      </c>
      <c r="B52" s="13">
        <v>0</v>
      </c>
      <c r="C52" s="13">
        <v>14</v>
      </c>
    </row>
    <row r="53" spans="1:3" x14ac:dyDescent="0.3">
      <c r="A53" s="12">
        <v>35</v>
      </c>
      <c r="B53" s="13">
        <v>35</v>
      </c>
      <c r="C53" s="13">
        <v>35</v>
      </c>
    </row>
    <row r="54" spans="1:3" x14ac:dyDescent="0.3">
      <c r="A54" s="12">
        <v>35</v>
      </c>
      <c r="B54" s="13">
        <v>49</v>
      </c>
      <c r="C54" s="13">
        <v>21</v>
      </c>
    </row>
    <row r="55" spans="1:3" x14ac:dyDescent="0.3">
      <c r="A55" s="12">
        <v>70</v>
      </c>
      <c r="B55" s="13">
        <v>70</v>
      </c>
      <c r="C55" s="13">
        <v>35</v>
      </c>
    </row>
    <row r="56" spans="1:3" x14ac:dyDescent="0.3">
      <c r="A56" s="12">
        <v>5.25</v>
      </c>
      <c r="B56" s="13">
        <v>17.5</v>
      </c>
      <c r="C56" s="13">
        <v>8.75</v>
      </c>
    </row>
    <row r="57" spans="1:3" x14ac:dyDescent="0.3">
      <c r="A57" s="12">
        <v>0</v>
      </c>
      <c r="B57" s="13">
        <v>35</v>
      </c>
      <c r="C57" s="13">
        <v>0</v>
      </c>
    </row>
    <row r="58" spans="1:3" x14ac:dyDescent="0.3">
      <c r="A58" s="12">
        <v>21</v>
      </c>
      <c r="B58" s="13">
        <v>35</v>
      </c>
      <c r="C58" s="13">
        <v>35</v>
      </c>
    </row>
    <row r="59" spans="1:3" x14ac:dyDescent="0.3">
      <c r="A59" s="12">
        <v>24.5</v>
      </c>
      <c r="B59" s="13">
        <v>14</v>
      </c>
      <c r="C59" s="13">
        <v>14</v>
      </c>
    </row>
    <row r="60" spans="1:3" x14ac:dyDescent="0.3">
      <c r="A60" s="12">
        <v>24.5</v>
      </c>
      <c r="B60" s="13">
        <v>35</v>
      </c>
      <c r="C60" s="13">
        <v>24.5</v>
      </c>
    </row>
    <row r="61" spans="1:3" x14ac:dyDescent="0.3">
      <c r="A61" s="12">
        <v>21</v>
      </c>
      <c r="B61" s="13">
        <v>35</v>
      </c>
      <c r="C61" s="13">
        <v>52.5</v>
      </c>
    </row>
    <row r="62" spans="1:3" x14ac:dyDescent="0.3">
      <c r="A62" s="12">
        <v>35</v>
      </c>
      <c r="B62" s="13">
        <v>21</v>
      </c>
      <c r="C62" s="13">
        <v>70</v>
      </c>
    </row>
    <row r="63" spans="1:3" x14ac:dyDescent="0.3">
      <c r="A63" s="12">
        <v>7</v>
      </c>
      <c r="B63" s="13">
        <v>7</v>
      </c>
      <c r="C63" s="13">
        <v>14</v>
      </c>
    </row>
    <row r="64" spans="1:3" x14ac:dyDescent="0.3">
      <c r="A64" s="12">
        <v>7</v>
      </c>
      <c r="B64" s="13">
        <v>7</v>
      </c>
      <c r="C64" s="13">
        <v>7</v>
      </c>
    </row>
    <row r="65" spans="1:3" x14ac:dyDescent="0.3">
      <c r="A65" s="12">
        <v>35</v>
      </c>
      <c r="B65" s="13">
        <v>0</v>
      </c>
      <c r="C65" s="13">
        <v>35</v>
      </c>
    </row>
    <row r="66" spans="1:3" x14ac:dyDescent="0.3">
      <c r="A66" s="12">
        <v>175</v>
      </c>
      <c r="B66" s="13">
        <v>210</v>
      </c>
      <c r="C66" s="13">
        <v>0</v>
      </c>
    </row>
    <row r="67" spans="1:3" x14ac:dyDescent="0.3">
      <c r="A67" s="12">
        <v>14</v>
      </c>
      <c r="B67" s="13">
        <v>0</v>
      </c>
      <c r="C67" s="13">
        <v>0</v>
      </c>
    </row>
    <row r="68" spans="1:3" x14ac:dyDescent="0.3">
      <c r="A68" s="12">
        <v>35</v>
      </c>
      <c r="B68" s="13">
        <v>49</v>
      </c>
      <c r="C68" s="13">
        <v>14</v>
      </c>
    </row>
    <row r="69" spans="1:3" x14ac:dyDescent="0.3">
      <c r="A69" s="12">
        <v>10.5</v>
      </c>
      <c r="B69" s="13">
        <v>7</v>
      </c>
      <c r="C69" s="13">
        <v>7</v>
      </c>
    </row>
    <row r="70" spans="1:3" x14ac:dyDescent="0.3">
      <c r="A70" s="12">
        <v>7</v>
      </c>
      <c r="B70" s="13">
        <v>14</v>
      </c>
      <c r="C70" s="13">
        <v>3.5</v>
      </c>
    </row>
    <row r="71" spans="1:3" x14ac:dyDescent="0.3">
      <c r="A71" s="12">
        <v>175</v>
      </c>
      <c r="B71" s="13">
        <v>350</v>
      </c>
      <c r="C71" s="13">
        <v>70</v>
      </c>
    </row>
    <row r="72" spans="1:3" x14ac:dyDescent="0.3">
      <c r="A72" s="12">
        <v>0</v>
      </c>
      <c r="B72" s="13">
        <v>14</v>
      </c>
      <c r="C72" s="13">
        <v>14</v>
      </c>
    </row>
    <row r="73" spans="1:3" x14ac:dyDescent="0.3">
      <c r="A73" s="12">
        <v>12.25</v>
      </c>
      <c r="B73" s="13">
        <v>35</v>
      </c>
      <c r="C73" s="13">
        <v>0</v>
      </c>
    </row>
    <row r="74" spans="1:3" x14ac:dyDescent="0.3">
      <c r="A74" s="12">
        <v>35</v>
      </c>
      <c r="B74" s="13">
        <v>42</v>
      </c>
      <c r="C74" s="13">
        <v>42</v>
      </c>
    </row>
    <row r="75" spans="1:3" x14ac:dyDescent="0.3">
      <c r="A75" s="12">
        <v>35</v>
      </c>
      <c r="B75" s="13">
        <v>56</v>
      </c>
      <c r="C75" s="13">
        <v>0</v>
      </c>
    </row>
    <row r="76" spans="1:3" x14ac:dyDescent="0.3">
      <c r="A76" s="12">
        <v>35</v>
      </c>
      <c r="B76" s="13">
        <v>42</v>
      </c>
      <c r="C76" s="13">
        <v>0</v>
      </c>
    </row>
    <row r="77" spans="1:3" x14ac:dyDescent="0.3">
      <c r="A77" s="12">
        <v>42</v>
      </c>
      <c r="B77" s="13">
        <v>52.5</v>
      </c>
      <c r="C77" s="13">
        <v>7</v>
      </c>
    </row>
    <row r="78" spans="1:3" x14ac:dyDescent="0.3">
      <c r="A78" s="12">
        <v>21</v>
      </c>
      <c r="B78" s="13">
        <v>21</v>
      </c>
      <c r="C78" s="13">
        <v>7</v>
      </c>
    </row>
    <row r="79" spans="1:3" x14ac:dyDescent="0.3">
      <c r="A79" s="12">
        <v>27.650000000000002</v>
      </c>
      <c r="B79" s="13">
        <v>48.65</v>
      </c>
      <c r="C79" s="13">
        <v>27.650000000000002</v>
      </c>
    </row>
    <row r="80" spans="1:3" x14ac:dyDescent="0.3">
      <c r="A80" s="12">
        <v>0</v>
      </c>
      <c r="B80" s="13">
        <v>56</v>
      </c>
      <c r="C80" s="13">
        <v>35</v>
      </c>
    </row>
    <row r="81" spans="1:3" x14ac:dyDescent="0.3">
      <c r="A81" s="12">
        <v>0</v>
      </c>
      <c r="B81" s="13">
        <v>7</v>
      </c>
      <c r="C81" s="13">
        <v>0</v>
      </c>
    </row>
    <row r="82" spans="1:3" x14ac:dyDescent="0.3">
      <c r="A82" s="12">
        <v>35</v>
      </c>
      <c r="B82" s="13">
        <v>35</v>
      </c>
      <c r="C82" s="13">
        <v>56</v>
      </c>
    </row>
    <row r="83" spans="1:3" x14ac:dyDescent="0.3">
      <c r="A83" s="12">
        <v>21</v>
      </c>
      <c r="B83" s="13">
        <v>28</v>
      </c>
      <c r="C83" s="13">
        <v>28</v>
      </c>
    </row>
    <row r="84" spans="1:3" x14ac:dyDescent="0.3">
      <c r="A84" s="12">
        <v>0</v>
      </c>
      <c r="B84" s="13">
        <v>42</v>
      </c>
      <c r="C84" s="13">
        <v>7</v>
      </c>
    </row>
    <row r="85" spans="1:3" x14ac:dyDescent="0.3">
      <c r="A85" s="14">
        <v>35</v>
      </c>
      <c r="B85" s="15">
        <v>35</v>
      </c>
      <c r="C85" s="15">
        <v>1.75</v>
      </c>
    </row>
  </sheetData>
  <mergeCells count="3">
    <mergeCell ref="A1:H1"/>
    <mergeCell ref="A5:C5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2C6E9-FBAF-4C3B-8154-A7D9E456D166}">
  <dimension ref="A1:M85"/>
  <sheetViews>
    <sheetView zoomScale="90" zoomScaleNormal="90" workbookViewId="0">
      <selection activeCell="M3" sqref="M3"/>
    </sheetView>
  </sheetViews>
  <sheetFormatPr defaultRowHeight="14.4" x14ac:dyDescent="0.3"/>
  <cols>
    <col min="3" max="3" width="10.33203125" bestFit="1" customWidth="1"/>
    <col min="4" max="4" width="7.109375" bestFit="1" customWidth="1"/>
    <col min="5" max="5" width="6.5546875" bestFit="1" customWidth="1"/>
    <col min="6" max="6" width="9.77734375" bestFit="1" customWidth="1"/>
    <col min="7" max="7" width="11.5546875" bestFit="1" customWidth="1"/>
    <col min="8" max="8" width="18.33203125" bestFit="1" customWidth="1"/>
    <col min="9" max="9" width="14.33203125" bestFit="1" customWidth="1"/>
    <col min="10" max="10" width="8.109375" bestFit="1" customWidth="1"/>
    <col min="11" max="11" width="20" bestFit="1" customWidth="1"/>
    <col min="12" max="12" width="14" bestFit="1" customWidth="1"/>
    <col min="13" max="13" width="8" bestFit="1" customWidth="1"/>
  </cols>
  <sheetData>
    <row r="1" spans="1:13" x14ac:dyDescent="0.3">
      <c r="A1" s="74" t="s">
        <v>0</v>
      </c>
      <c r="B1" s="74"/>
      <c r="C1" s="74"/>
      <c r="D1" s="74"/>
      <c r="E1" s="74"/>
      <c r="F1" s="74"/>
      <c r="G1" s="74"/>
      <c r="H1" s="74"/>
      <c r="I1" s="6"/>
      <c r="J1" s="6"/>
    </row>
    <row r="2" spans="1:13" x14ac:dyDescent="0.3">
      <c r="A2" s="32"/>
      <c r="B2" s="32"/>
      <c r="C2" s="2" t="s">
        <v>1</v>
      </c>
      <c r="D2" s="7">
        <v>1</v>
      </c>
      <c r="E2" s="7">
        <v>2</v>
      </c>
      <c r="F2" s="7">
        <v>3</v>
      </c>
      <c r="G2" s="7">
        <v>4</v>
      </c>
      <c r="H2" s="7">
        <v>5</v>
      </c>
      <c r="I2" s="7">
        <v>6</v>
      </c>
      <c r="J2" s="7">
        <v>7</v>
      </c>
    </row>
    <row r="3" spans="1:13" x14ac:dyDescent="0.3">
      <c r="A3" s="32"/>
      <c r="B3" s="32"/>
      <c r="C3" s="2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71" t="s">
        <v>9</v>
      </c>
      <c r="K3" s="61"/>
      <c r="L3" s="72" t="s">
        <v>17</v>
      </c>
      <c r="M3" s="73">
        <f>SUM(M9:M85)</f>
        <v>3359.9901154276299</v>
      </c>
    </row>
    <row r="4" spans="1:13" x14ac:dyDescent="0.3">
      <c r="C4" s="53" t="s">
        <v>11</v>
      </c>
      <c r="D4" s="53">
        <v>93.627126446872481</v>
      </c>
      <c r="E4" s="53">
        <v>34.99999492817205</v>
      </c>
      <c r="F4" s="53">
        <v>72.441551177159681</v>
      </c>
      <c r="G4" s="53">
        <v>91.02095548085758</v>
      </c>
      <c r="H4" s="53">
        <v>87.105198984798335</v>
      </c>
      <c r="I4" s="53">
        <v>93.796646255942974</v>
      </c>
      <c r="J4" s="60">
        <v>69.999760644712666</v>
      </c>
      <c r="M4" s="53">
        <v>1914</v>
      </c>
    </row>
    <row r="5" spans="1:13" x14ac:dyDescent="0.3">
      <c r="A5" s="75" t="s">
        <v>10</v>
      </c>
      <c r="B5" s="75"/>
      <c r="C5" s="76"/>
      <c r="D5" s="33"/>
      <c r="E5" s="33"/>
      <c r="F5" s="33"/>
      <c r="G5" s="33"/>
      <c r="H5" s="33"/>
      <c r="I5" s="33"/>
      <c r="J5" s="33"/>
    </row>
    <row r="6" spans="1:13" x14ac:dyDescent="0.3">
      <c r="A6" s="5"/>
      <c r="B6" s="5"/>
      <c r="C6" s="5"/>
      <c r="D6" s="43">
        <v>10</v>
      </c>
      <c r="E6" s="43">
        <v>12</v>
      </c>
      <c r="F6" s="43">
        <v>14</v>
      </c>
      <c r="G6" s="43">
        <v>25</v>
      </c>
      <c r="H6" s="43">
        <v>36</v>
      </c>
      <c r="I6" s="43">
        <v>28</v>
      </c>
      <c r="J6" s="43">
        <v>50</v>
      </c>
    </row>
    <row r="7" spans="1:13" x14ac:dyDescent="0.3">
      <c r="A7" s="77" t="s">
        <v>12</v>
      </c>
      <c r="B7" s="77"/>
      <c r="C7" s="77"/>
      <c r="D7" s="78" t="s">
        <v>13</v>
      </c>
      <c r="E7" s="78"/>
      <c r="F7" s="78"/>
      <c r="G7" s="78"/>
      <c r="H7" s="78"/>
      <c r="I7" s="78"/>
      <c r="J7" s="78"/>
    </row>
    <row r="8" spans="1:13" x14ac:dyDescent="0.3">
      <c r="A8" s="9" t="s">
        <v>3</v>
      </c>
      <c r="B8" s="9" t="s">
        <v>4</v>
      </c>
      <c r="C8" s="9" t="s">
        <v>5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6" t="s">
        <v>8</v>
      </c>
      <c r="J8" s="16" t="s">
        <v>9</v>
      </c>
      <c r="K8" s="62" t="s">
        <v>34</v>
      </c>
      <c r="L8" s="66" t="s">
        <v>15</v>
      </c>
      <c r="M8" s="67" t="s">
        <v>16</v>
      </c>
    </row>
    <row r="9" spans="1:13" x14ac:dyDescent="0.3">
      <c r="A9" s="10">
        <v>3.5</v>
      </c>
      <c r="B9" s="11">
        <v>7</v>
      </c>
      <c r="C9" s="11">
        <v>3.5</v>
      </c>
      <c r="D9" s="57">
        <f>A9-$D$4</f>
        <v>-90.127126446872481</v>
      </c>
      <c r="E9" s="57">
        <f>B9-$E$4</f>
        <v>-27.99999492817205</v>
      </c>
      <c r="F9" s="57">
        <f>C9-$F$4</f>
        <v>-68.941551177159681</v>
      </c>
      <c r="G9" s="57">
        <f>(A9+B9)-$G$4</f>
        <v>-80.52095548085758</v>
      </c>
      <c r="H9" s="57">
        <f>(A9+C9)-$H$4</f>
        <v>-80.105198984798335</v>
      </c>
      <c r="I9" s="57">
        <f>(B9+C9)-$I$4</f>
        <v>-83.296646255942974</v>
      </c>
      <c r="J9" s="54">
        <f>(A9+B9+C9)-$J$4</f>
        <v>-55.999760644712666</v>
      </c>
      <c r="K9" s="63">
        <f>MAX(D9:J9)</f>
        <v>-27.99999492817205</v>
      </c>
      <c r="L9" s="28">
        <f>IF(K9&gt;0,MATCH(K9,D9:J9,0),0)</f>
        <v>0</v>
      </c>
      <c r="M9" s="68">
        <f>IF(L9&gt;0,HLOOKUP(L9,$D$2:$J$4,3,FALSE),0)</f>
        <v>0</v>
      </c>
    </row>
    <row r="10" spans="1:13" x14ac:dyDescent="0.3">
      <c r="A10" s="12">
        <v>17.5</v>
      </c>
      <c r="B10" s="13">
        <v>35</v>
      </c>
      <c r="C10" s="13">
        <v>3.5</v>
      </c>
      <c r="D10" s="58">
        <f t="shared" ref="D10:D73" si="0">A10-$D$4</f>
        <v>-76.127126446872481</v>
      </c>
      <c r="E10" s="58">
        <f t="shared" ref="E10:E73" si="1">B10-$E$4</f>
        <v>5.0718279496209107E-6</v>
      </c>
      <c r="F10" s="58">
        <f t="shared" ref="F10:F73" si="2">C10-$F$4</f>
        <v>-68.941551177159681</v>
      </c>
      <c r="G10" s="58">
        <f t="shared" ref="G10:G73" si="3">(A10+B10)-$G$4</f>
        <v>-38.52095548085758</v>
      </c>
      <c r="H10" s="58">
        <f t="shared" ref="H10:H73" si="4">(A10+C10)-$H$4</f>
        <v>-66.105198984798335</v>
      </c>
      <c r="I10" s="58">
        <f t="shared" ref="I10:I73" si="5">(B10+C10)-$I$4</f>
        <v>-55.296646255942974</v>
      </c>
      <c r="J10" s="55">
        <f t="shared" ref="J10:J73" si="6">(A10+B10+C10)-$J$4</f>
        <v>-13.999760644712666</v>
      </c>
      <c r="K10" s="64">
        <f t="shared" ref="K10:K73" si="7">MAX(D10:J10)</f>
        <v>5.0718279496209107E-6</v>
      </c>
      <c r="L10" s="29">
        <f t="shared" ref="L10:L73" si="8">IF(K10&gt;0,MATCH(K10,D10:J10,0),0)</f>
        <v>2</v>
      </c>
      <c r="M10" s="69">
        <f t="shared" ref="M10:M73" si="9">IF(L10&gt;0,HLOOKUP(L10,$D$2:$J$4,3,FALSE),0)</f>
        <v>34.99999492817205</v>
      </c>
    </row>
    <row r="11" spans="1:13" x14ac:dyDescent="0.3">
      <c r="A11" s="12">
        <v>28</v>
      </c>
      <c r="B11" s="13">
        <v>28</v>
      </c>
      <c r="C11" s="13">
        <v>49</v>
      </c>
      <c r="D11" s="58">
        <f t="shared" si="0"/>
        <v>-65.627126446872481</v>
      </c>
      <c r="E11" s="58">
        <f t="shared" si="1"/>
        <v>-6.9999949281720504</v>
      </c>
      <c r="F11" s="58">
        <f t="shared" si="2"/>
        <v>-23.441551177159681</v>
      </c>
      <c r="G11" s="58">
        <f t="shared" si="3"/>
        <v>-35.02095548085758</v>
      </c>
      <c r="H11" s="58">
        <f t="shared" si="4"/>
        <v>-10.105198984798335</v>
      </c>
      <c r="I11" s="58">
        <f t="shared" si="5"/>
        <v>-16.796646255942974</v>
      </c>
      <c r="J11" s="55">
        <f t="shared" si="6"/>
        <v>35.000239355287334</v>
      </c>
      <c r="K11" s="64">
        <f t="shared" si="7"/>
        <v>35.000239355287334</v>
      </c>
      <c r="L11" s="29">
        <f t="shared" si="8"/>
        <v>7</v>
      </c>
      <c r="M11" s="69">
        <f t="shared" si="9"/>
        <v>69.999760644712666</v>
      </c>
    </row>
    <row r="12" spans="1:13" x14ac:dyDescent="0.3">
      <c r="A12" s="12">
        <v>70</v>
      </c>
      <c r="B12" s="13">
        <v>70</v>
      </c>
      <c r="C12" s="13">
        <v>0</v>
      </c>
      <c r="D12" s="58">
        <f t="shared" si="0"/>
        <v>-23.627126446872481</v>
      </c>
      <c r="E12" s="58">
        <f t="shared" si="1"/>
        <v>35.00000507182795</v>
      </c>
      <c r="F12" s="58">
        <f t="shared" si="2"/>
        <v>-72.441551177159681</v>
      </c>
      <c r="G12" s="58">
        <f t="shared" si="3"/>
        <v>48.97904451914242</v>
      </c>
      <c r="H12" s="58">
        <f t="shared" si="4"/>
        <v>-17.105198984798335</v>
      </c>
      <c r="I12" s="58">
        <f t="shared" si="5"/>
        <v>-23.796646255942974</v>
      </c>
      <c r="J12" s="55">
        <f t="shared" si="6"/>
        <v>70.000239355287334</v>
      </c>
      <c r="K12" s="64">
        <f t="shared" si="7"/>
        <v>70.000239355287334</v>
      </c>
      <c r="L12" s="29">
        <f t="shared" si="8"/>
        <v>7</v>
      </c>
      <c r="M12" s="69">
        <f t="shared" si="9"/>
        <v>69.999760644712666</v>
      </c>
    </row>
    <row r="13" spans="1:13" x14ac:dyDescent="0.3">
      <c r="A13" s="12">
        <v>0</v>
      </c>
      <c r="B13" s="13">
        <v>7</v>
      </c>
      <c r="C13" s="13">
        <v>14</v>
      </c>
      <c r="D13" s="58">
        <f t="shared" si="0"/>
        <v>-93.627126446872481</v>
      </c>
      <c r="E13" s="58">
        <f t="shared" si="1"/>
        <v>-27.99999492817205</v>
      </c>
      <c r="F13" s="58">
        <f t="shared" si="2"/>
        <v>-58.441551177159681</v>
      </c>
      <c r="G13" s="58">
        <f t="shared" si="3"/>
        <v>-84.02095548085758</v>
      </c>
      <c r="H13" s="58">
        <f t="shared" si="4"/>
        <v>-73.105198984798335</v>
      </c>
      <c r="I13" s="58">
        <f t="shared" si="5"/>
        <v>-72.796646255942974</v>
      </c>
      <c r="J13" s="55">
        <f t="shared" si="6"/>
        <v>-48.999760644712666</v>
      </c>
      <c r="K13" s="64">
        <f t="shared" si="7"/>
        <v>-27.99999492817205</v>
      </c>
      <c r="L13" s="29">
        <f t="shared" si="8"/>
        <v>0</v>
      </c>
      <c r="M13" s="69">
        <f t="shared" si="9"/>
        <v>0</v>
      </c>
    </row>
    <row r="14" spans="1:13" x14ac:dyDescent="0.3">
      <c r="A14" s="12">
        <v>0</v>
      </c>
      <c r="B14" s="13">
        <v>70</v>
      </c>
      <c r="C14" s="13">
        <v>0</v>
      </c>
      <c r="D14" s="58">
        <f t="shared" si="0"/>
        <v>-93.627126446872481</v>
      </c>
      <c r="E14" s="58">
        <f t="shared" si="1"/>
        <v>35.00000507182795</v>
      </c>
      <c r="F14" s="58">
        <f t="shared" si="2"/>
        <v>-72.441551177159681</v>
      </c>
      <c r="G14" s="58">
        <f t="shared" si="3"/>
        <v>-21.02095548085758</v>
      </c>
      <c r="H14" s="58">
        <f t="shared" si="4"/>
        <v>-87.105198984798335</v>
      </c>
      <c r="I14" s="58">
        <f t="shared" si="5"/>
        <v>-23.796646255942974</v>
      </c>
      <c r="J14" s="55">
        <f t="shared" si="6"/>
        <v>2.3935528733431966E-4</v>
      </c>
      <c r="K14" s="64">
        <f t="shared" si="7"/>
        <v>35.00000507182795</v>
      </c>
      <c r="L14" s="29">
        <f t="shared" si="8"/>
        <v>2</v>
      </c>
      <c r="M14" s="69">
        <f t="shared" si="9"/>
        <v>34.99999492817205</v>
      </c>
    </row>
    <row r="15" spans="1:13" x14ac:dyDescent="0.3">
      <c r="A15" s="12">
        <v>21</v>
      </c>
      <c r="B15" s="13">
        <v>35</v>
      </c>
      <c r="C15" s="13">
        <v>10.5</v>
      </c>
      <c r="D15" s="58">
        <f t="shared" si="0"/>
        <v>-72.627126446872481</v>
      </c>
      <c r="E15" s="58">
        <f t="shared" si="1"/>
        <v>5.0718279496209107E-6</v>
      </c>
      <c r="F15" s="58">
        <f t="shared" si="2"/>
        <v>-61.941551177159681</v>
      </c>
      <c r="G15" s="58">
        <f t="shared" si="3"/>
        <v>-35.02095548085758</v>
      </c>
      <c r="H15" s="58">
        <f t="shared" si="4"/>
        <v>-55.605198984798335</v>
      </c>
      <c r="I15" s="58">
        <f t="shared" si="5"/>
        <v>-48.296646255942974</v>
      </c>
      <c r="J15" s="55">
        <f t="shared" si="6"/>
        <v>-3.4997606447126657</v>
      </c>
      <c r="K15" s="64">
        <f t="shared" si="7"/>
        <v>5.0718279496209107E-6</v>
      </c>
      <c r="L15" s="29">
        <f t="shared" si="8"/>
        <v>2</v>
      </c>
      <c r="M15" s="69">
        <f t="shared" si="9"/>
        <v>34.99999492817205</v>
      </c>
    </row>
    <row r="16" spans="1:13" x14ac:dyDescent="0.3">
      <c r="A16" s="12">
        <v>7</v>
      </c>
      <c r="B16" s="13">
        <v>21</v>
      </c>
      <c r="C16" s="13">
        <v>0</v>
      </c>
      <c r="D16" s="58">
        <f t="shared" si="0"/>
        <v>-86.627126446872481</v>
      </c>
      <c r="E16" s="58">
        <f t="shared" si="1"/>
        <v>-13.99999492817205</v>
      </c>
      <c r="F16" s="58">
        <f t="shared" si="2"/>
        <v>-72.441551177159681</v>
      </c>
      <c r="G16" s="58">
        <f t="shared" si="3"/>
        <v>-63.02095548085758</v>
      </c>
      <c r="H16" s="58">
        <f t="shared" si="4"/>
        <v>-80.105198984798335</v>
      </c>
      <c r="I16" s="58">
        <f t="shared" si="5"/>
        <v>-72.796646255942974</v>
      </c>
      <c r="J16" s="55">
        <f t="shared" si="6"/>
        <v>-41.999760644712666</v>
      </c>
      <c r="K16" s="64">
        <f t="shared" si="7"/>
        <v>-13.99999492817205</v>
      </c>
      <c r="L16" s="29">
        <f t="shared" si="8"/>
        <v>0</v>
      </c>
      <c r="M16" s="69">
        <f t="shared" si="9"/>
        <v>0</v>
      </c>
    </row>
    <row r="17" spans="1:13" x14ac:dyDescent="0.3">
      <c r="A17" s="12">
        <v>5.25</v>
      </c>
      <c r="B17" s="13">
        <v>7</v>
      </c>
      <c r="C17" s="13">
        <v>2.1</v>
      </c>
      <c r="D17" s="58">
        <f t="shared" si="0"/>
        <v>-88.377126446872481</v>
      </c>
      <c r="E17" s="58">
        <f t="shared" si="1"/>
        <v>-27.99999492817205</v>
      </c>
      <c r="F17" s="58">
        <f t="shared" si="2"/>
        <v>-70.341551177159687</v>
      </c>
      <c r="G17" s="58">
        <f t="shared" si="3"/>
        <v>-78.77095548085758</v>
      </c>
      <c r="H17" s="58">
        <f t="shared" si="4"/>
        <v>-79.755198984798341</v>
      </c>
      <c r="I17" s="58">
        <f t="shared" si="5"/>
        <v>-84.69664625594298</v>
      </c>
      <c r="J17" s="55">
        <f t="shared" si="6"/>
        <v>-55.649760644712664</v>
      </c>
      <c r="K17" s="64">
        <f t="shared" si="7"/>
        <v>-27.99999492817205</v>
      </c>
      <c r="L17" s="29">
        <f t="shared" si="8"/>
        <v>0</v>
      </c>
      <c r="M17" s="69">
        <f t="shared" si="9"/>
        <v>0</v>
      </c>
    </row>
    <row r="18" spans="1:13" x14ac:dyDescent="0.3">
      <c r="A18" s="12">
        <v>21</v>
      </c>
      <c r="B18" s="13">
        <v>28</v>
      </c>
      <c r="C18" s="13">
        <v>28</v>
      </c>
      <c r="D18" s="58">
        <f t="shared" si="0"/>
        <v>-72.627126446872481</v>
      </c>
      <c r="E18" s="58">
        <f t="shared" si="1"/>
        <v>-6.9999949281720504</v>
      </c>
      <c r="F18" s="58">
        <f t="shared" si="2"/>
        <v>-44.441551177159681</v>
      </c>
      <c r="G18" s="58">
        <f t="shared" si="3"/>
        <v>-42.02095548085758</v>
      </c>
      <c r="H18" s="58">
        <f t="shared" si="4"/>
        <v>-38.105198984798335</v>
      </c>
      <c r="I18" s="58">
        <f t="shared" si="5"/>
        <v>-37.796646255942974</v>
      </c>
      <c r="J18" s="55">
        <f t="shared" si="6"/>
        <v>7.0002393552873343</v>
      </c>
      <c r="K18" s="64">
        <f t="shared" si="7"/>
        <v>7.0002393552873343</v>
      </c>
      <c r="L18" s="29">
        <f t="shared" si="8"/>
        <v>7</v>
      </c>
      <c r="M18" s="69">
        <f t="shared" si="9"/>
        <v>69.999760644712666</v>
      </c>
    </row>
    <row r="19" spans="1:13" x14ac:dyDescent="0.3">
      <c r="A19" s="12">
        <v>35</v>
      </c>
      <c r="B19" s="13">
        <v>49</v>
      </c>
      <c r="C19" s="13">
        <v>21</v>
      </c>
      <c r="D19" s="58">
        <f t="shared" si="0"/>
        <v>-58.627126446872481</v>
      </c>
      <c r="E19" s="58">
        <f t="shared" si="1"/>
        <v>14.00000507182795</v>
      </c>
      <c r="F19" s="58">
        <f t="shared" si="2"/>
        <v>-51.441551177159681</v>
      </c>
      <c r="G19" s="58">
        <f t="shared" si="3"/>
        <v>-7.0209554808575803</v>
      </c>
      <c r="H19" s="58">
        <f t="shared" si="4"/>
        <v>-31.105198984798335</v>
      </c>
      <c r="I19" s="58">
        <f t="shared" si="5"/>
        <v>-23.796646255942974</v>
      </c>
      <c r="J19" s="55">
        <f t="shared" si="6"/>
        <v>35.000239355287334</v>
      </c>
      <c r="K19" s="64">
        <f t="shared" si="7"/>
        <v>35.000239355287334</v>
      </c>
      <c r="L19" s="29">
        <f t="shared" si="8"/>
        <v>7</v>
      </c>
      <c r="M19" s="69">
        <f t="shared" si="9"/>
        <v>69.999760644712666</v>
      </c>
    </row>
    <row r="20" spans="1:13" x14ac:dyDescent="0.3">
      <c r="A20" s="12">
        <v>21</v>
      </c>
      <c r="B20" s="13">
        <v>21</v>
      </c>
      <c r="C20" s="13">
        <v>21</v>
      </c>
      <c r="D20" s="58">
        <f t="shared" si="0"/>
        <v>-72.627126446872481</v>
      </c>
      <c r="E20" s="58">
        <f t="shared" si="1"/>
        <v>-13.99999492817205</v>
      </c>
      <c r="F20" s="58">
        <f t="shared" si="2"/>
        <v>-51.441551177159681</v>
      </c>
      <c r="G20" s="58">
        <f t="shared" si="3"/>
        <v>-49.02095548085758</v>
      </c>
      <c r="H20" s="58">
        <f t="shared" si="4"/>
        <v>-45.105198984798335</v>
      </c>
      <c r="I20" s="58">
        <f t="shared" si="5"/>
        <v>-51.796646255942974</v>
      </c>
      <c r="J20" s="55">
        <f t="shared" si="6"/>
        <v>-6.9997606447126657</v>
      </c>
      <c r="K20" s="64">
        <f t="shared" si="7"/>
        <v>-6.9997606447126657</v>
      </c>
      <c r="L20" s="29">
        <f t="shared" si="8"/>
        <v>0</v>
      </c>
      <c r="M20" s="69">
        <f t="shared" si="9"/>
        <v>0</v>
      </c>
    </row>
    <row r="21" spans="1:13" x14ac:dyDescent="0.3">
      <c r="A21" s="12">
        <v>14</v>
      </c>
      <c r="B21" s="13">
        <v>35</v>
      </c>
      <c r="C21" s="13">
        <v>21</v>
      </c>
      <c r="D21" s="58">
        <f t="shared" si="0"/>
        <v>-79.627126446872481</v>
      </c>
      <c r="E21" s="58">
        <f t="shared" si="1"/>
        <v>5.0718279496209107E-6</v>
      </c>
      <c r="F21" s="58">
        <f t="shared" si="2"/>
        <v>-51.441551177159681</v>
      </c>
      <c r="G21" s="58">
        <f t="shared" si="3"/>
        <v>-42.02095548085758</v>
      </c>
      <c r="H21" s="58">
        <f t="shared" si="4"/>
        <v>-52.105198984798335</v>
      </c>
      <c r="I21" s="58">
        <f t="shared" si="5"/>
        <v>-37.796646255942974</v>
      </c>
      <c r="J21" s="55">
        <f t="shared" si="6"/>
        <v>2.3935528733431966E-4</v>
      </c>
      <c r="K21" s="64">
        <f t="shared" si="7"/>
        <v>2.3935528733431966E-4</v>
      </c>
      <c r="L21" s="29">
        <f t="shared" si="8"/>
        <v>7</v>
      </c>
      <c r="M21" s="69">
        <f t="shared" si="9"/>
        <v>69.999760644712666</v>
      </c>
    </row>
    <row r="22" spans="1:13" x14ac:dyDescent="0.3">
      <c r="A22" s="12">
        <v>14</v>
      </c>
      <c r="B22" s="13">
        <v>35</v>
      </c>
      <c r="C22" s="13">
        <v>14</v>
      </c>
      <c r="D22" s="58">
        <f t="shared" si="0"/>
        <v>-79.627126446872481</v>
      </c>
      <c r="E22" s="58">
        <f t="shared" si="1"/>
        <v>5.0718279496209107E-6</v>
      </c>
      <c r="F22" s="58">
        <f t="shared" si="2"/>
        <v>-58.441551177159681</v>
      </c>
      <c r="G22" s="58">
        <f t="shared" si="3"/>
        <v>-42.02095548085758</v>
      </c>
      <c r="H22" s="58">
        <f t="shared" si="4"/>
        <v>-59.105198984798335</v>
      </c>
      <c r="I22" s="58">
        <f t="shared" si="5"/>
        <v>-44.796646255942974</v>
      </c>
      <c r="J22" s="55">
        <f t="shared" si="6"/>
        <v>-6.9997606447126657</v>
      </c>
      <c r="K22" s="64">
        <f t="shared" si="7"/>
        <v>5.0718279496209107E-6</v>
      </c>
      <c r="L22" s="29">
        <f t="shared" si="8"/>
        <v>2</v>
      </c>
      <c r="M22" s="69">
        <f t="shared" si="9"/>
        <v>34.99999492817205</v>
      </c>
    </row>
    <row r="23" spans="1:13" x14ac:dyDescent="0.3">
      <c r="A23" s="12">
        <v>70</v>
      </c>
      <c r="B23" s="13">
        <v>0</v>
      </c>
      <c r="C23" s="13">
        <v>49</v>
      </c>
      <c r="D23" s="58">
        <f t="shared" si="0"/>
        <v>-23.627126446872481</v>
      </c>
      <c r="E23" s="58">
        <f t="shared" si="1"/>
        <v>-34.99999492817205</v>
      </c>
      <c r="F23" s="58">
        <f t="shared" si="2"/>
        <v>-23.441551177159681</v>
      </c>
      <c r="G23" s="58">
        <f t="shared" si="3"/>
        <v>-21.02095548085758</v>
      </c>
      <c r="H23" s="58">
        <f t="shared" si="4"/>
        <v>31.894801015201665</v>
      </c>
      <c r="I23" s="58">
        <f t="shared" si="5"/>
        <v>-44.796646255942974</v>
      </c>
      <c r="J23" s="55">
        <f t="shared" si="6"/>
        <v>49.000239355287334</v>
      </c>
      <c r="K23" s="64">
        <f t="shared" si="7"/>
        <v>49.000239355287334</v>
      </c>
      <c r="L23" s="29">
        <f t="shared" si="8"/>
        <v>7</v>
      </c>
      <c r="M23" s="69">
        <f t="shared" si="9"/>
        <v>69.999760644712666</v>
      </c>
    </row>
    <row r="24" spans="1:13" x14ac:dyDescent="0.3">
      <c r="A24" s="12">
        <v>7</v>
      </c>
      <c r="B24" s="13">
        <v>35</v>
      </c>
      <c r="C24" s="13">
        <v>14</v>
      </c>
      <c r="D24" s="58">
        <f t="shared" si="0"/>
        <v>-86.627126446872481</v>
      </c>
      <c r="E24" s="58">
        <f t="shared" si="1"/>
        <v>5.0718279496209107E-6</v>
      </c>
      <c r="F24" s="58">
        <f t="shared" si="2"/>
        <v>-58.441551177159681</v>
      </c>
      <c r="G24" s="58">
        <f t="shared" si="3"/>
        <v>-49.02095548085758</v>
      </c>
      <c r="H24" s="58">
        <f t="shared" si="4"/>
        <v>-66.105198984798335</v>
      </c>
      <c r="I24" s="58">
        <f t="shared" si="5"/>
        <v>-44.796646255942974</v>
      </c>
      <c r="J24" s="55">
        <f t="shared" si="6"/>
        <v>-13.999760644712666</v>
      </c>
      <c r="K24" s="64">
        <f t="shared" si="7"/>
        <v>5.0718279496209107E-6</v>
      </c>
      <c r="L24" s="29">
        <f t="shared" si="8"/>
        <v>2</v>
      </c>
      <c r="M24" s="69">
        <f t="shared" si="9"/>
        <v>34.99999492817205</v>
      </c>
    </row>
    <row r="25" spans="1:13" x14ac:dyDescent="0.3">
      <c r="A25" s="12">
        <v>21</v>
      </c>
      <c r="B25" s="13">
        <v>35</v>
      </c>
      <c r="C25" s="13">
        <v>42</v>
      </c>
      <c r="D25" s="58">
        <f t="shared" si="0"/>
        <v>-72.627126446872481</v>
      </c>
      <c r="E25" s="58">
        <f t="shared" si="1"/>
        <v>5.0718279496209107E-6</v>
      </c>
      <c r="F25" s="58">
        <f t="shared" si="2"/>
        <v>-30.441551177159681</v>
      </c>
      <c r="G25" s="58">
        <f t="shared" si="3"/>
        <v>-35.02095548085758</v>
      </c>
      <c r="H25" s="58">
        <f t="shared" si="4"/>
        <v>-24.105198984798335</v>
      </c>
      <c r="I25" s="58">
        <f t="shared" si="5"/>
        <v>-16.796646255942974</v>
      </c>
      <c r="J25" s="55">
        <f t="shared" si="6"/>
        <v>28.000239355287334</v>
      </c>
      <c r="K25" s="64">
        <f t="shared" si="7"/>
        <v>28.000239355287334</v>
      </c>
      <c r="L25" s="29">
        <f t="shared" si="8"/>
        <v>7</v>
      </c>
      <c r="M25" s="69">
        <f t="shared" si="9"/>
        <v>69.999760644712666</v>
      </c>
    </row>
    <row r="26" spans="1:13" x14ac:dyDescent="0.3">
      <c r="A26" s="12">
        <v>20.650000000000002</v>
      </c>
      <c r="B26" s="13">
        <v>34.65</v>
      </c>
      <c r="C26" s="13">
        <v>34.65</v>
      </c>
      <c r="D26" s="58">
        <f t="shared" si="0"/>
        <v>-72.977126446872475</v>
      </c>
      <c r="E26" s="58">
        <f t="shared" si="1"/>
        <v>-0.3499949281720518</v>
      </c>
      <c r="F26" s="58">
        <f t="shared" si="2"/>
        <v>-37.791551177159683</v>
      </c>
      <c r="G26" s="58">
        <f t="shared" si="3"/>
        <v>-35.720955480857583</v>
      </c>
      <c r="H26" s="58">
        <f t="shared" si="4"/>
        <v>-31.805198984798338</v>
      </c>
      <c r="I26" s="58">
        <f t="shared" si="5"/>
        <v>-24.496646255942977</v>
      </c>
      <c r="J26" s="55">
        <f t="shared" si="6"/>
        <v>19.950239355287323</v>
      </c>
      <c r="K26" s="64">
        <f t="shared" si="7"/>
        <v>19.950239355287323</v>
      </c>
      <c r="L26" s="29">
        <f t="shared" si="8"/>
        <v>7</v>
      </c>
      <c r="M26" s="69">
        <f t="shared" si="9"/>
        <v>69.999760644712666</v>
      </c>
    </row>
    <row r="27" spans="1:13" x14ac:dyDescent="0.3">
      <c r="A27" s="12">
        <v>1.75</v>
      </c>
      <c r="B27" s="13">
        <v>21</v>
      </c>
      <c r="C27" s="13">
        <v>0</v>
      </c>
      <c r="D27" s="58">
        <f t="shared" si="0"/>
        <v>-91.877126446872481</v>
      </c>
      <c r="E27" s="58">
        <f t="shared" si="1"/>
        <v>-13.99999492817205</v>
      </c>
      <c r="F27" s="58">
        <f t="shared" si="2"/>
        <v>-72.441551177159681</v>
      </c>
      <c r="G27" s="58">
        <f t="shared" si="3"/>
        <v>-68.27095548085758</v>
      </c>
      <c r="H27" s="58">
        <f t="shared" si="4"/>
        <v>-85.355198984798335</v>
      </c>
      <c r="I27" s="58">
        <f t="shared" si="5"/>
        <v>-72.796646255942974</v>
      </c>
      <c r="J27" s="55">
        <f t="shared" si="6"/>
        <v>-47.249760644712666</v>
      </c>
      <c r="K27" s="64">
        <f t="shared" si="7"/>
        <v>-13.99999492817205</v>
      </c>
      <c r="L27" s="29">
        <f t="shared" si="8"/>
        <v>0</v>
      </c>
      <c r="M27" s="69">
        <f t="shared" si="9"/>
        <v>0</v>
      </c>
    </row>
    <row r="28" spans="1:13" x14ac:dyDescent="0.3">
      <c r="A28" s="12">
        <v>21</v>
      </c>
      <c r="B28" s="13">
        <v>17.5</v>
      </c>
      <c r="C28" s="13">
        <v>21</v>
      </c>
      <c r="D28" s="58">
        <f t="shared" si="0"/>
        <v>-72.627126446872481</v>
      </c>
      <c r="E28" s="58">
        <f t="shared" si="1"/>
        <v>-17.49999492817205</v>
      </c>
      <c r="F28" s="58">
        <f t="shared" si="2"/>
        <v>-51.441551177159681</v>
      </c>
      <c r="G28" s="58">
        <f t="shared" si="3"/>
        <v>-52.52095548085758</v>
      </c>
      <c r="H28" s="58">
        <f t="shared" si="4"/>
        <v>-45.105198984798335</v>
      </c>
      <c r="I28" s="58">
        <f t="shared" si="5"/>
        <v>-55.296646255942974</v>
      </c>
      <c r="J28" s="55">
        <f t="shared" si="6"/>
        <v>-10.499760644712666</v>
      </c>
      <c r="K28" s="64">
        <f t="shared" si="7"/>
        <v>-10.499760644712666</v>
      </c>
      <c r="L28" s="29">
        <f t="shared" si="8"/>
        <v>0</v>
      </c>
      <c r="M28" s="69">
        <f t="shared" si="9"/>
        <v>0</v>
      </c>
    </row>
    <row r="29" spans="1:13" x14ac:dyDescent="0.3">
      <c r="A29" s="12">
        <v>27.650000000000002</v>
      </c>
      <c r="B29" s="13">
        <v>34.65</v>
      </c>
      <c r="C29" s="13">
        <v>41.65</v>
      </c>
      <c r="D29" s="58">
        <f t="shared" si="0"/>
        <v>-65.977126446872475</v>
      </c>
      <c r="E29" s="58">
        <f t="shared" si="1"/>
        <v>-0.3499949281720518</v>
      </c>
      <c r="F29" s="58">
        <f t="shared" si="2"/>
        <v>-30.791551177159683</v>
      </c>
      <c r="G29" s="58">
        <f t="shared" si="3"/>
        <v>-28.720955480857583</v>
      </c>
      <c r="H29" s="58">
        <f t="shared" si="4"/>
        <v>-17.805198984798338</v>
      </c>
      <c r="I29" s="58">
        <f t="shared" si="5"/>
        <v>-17.496646255942977</v>
      </c>
      <c r="J29" s="55">
        <f t="shared" si="6"/>
        <v>33.950239355287323</v>
      </c>
      <c r="K29" s="64">
        <f t="shared" si="7"/>
        <v>33.950239355287323</v>
      </c>
      <c r="L29" s="29">
        <f t="shared" si="8"/>
        <v>7</v>
      </c>
      <c r="M29" s="69">
        <f t="shared" si="9"/>
        <v>69.999760644712666</v>
      </c>
    </row>
    <row r="30" spans="1:13" x14ac:dyDescent="0.3">
      <c r="A30" s="12">
        <v>7</v>
      </c>
      <c r="B30" s="13">
        <v>0</v>
      </c>
      <c r="C30" s="13">
        <v>28</v>
      </c>
      <c r="D30" s="58">
        <f t="shared" si="0"/>
        <v>-86.627126446872481</v>
      </c>
      <c r="E30" s="58">
        <f t="shared" si="1"/>
        <v>-34.99999492817205</v>
      </c>
      <c r="F30" s="58">
        <f t="shared" si="2"/>
        <v>-44.441551177159681</v>
      </c>
      <c r="G30" s="58">
        <f t="shared" si="3"/>
        <v>-84.02095548085758</v>
      </c>
      <c r="H30" s="58">
        <f t="shared" si="4"/>
        <v>-52.105198984798335</v>
      </c>
      <c r="I30" s="58">
        <f t="shared" si="5"/>
        <v>-65.796646255942974</v>
      </c>
      <c r="J30" s="55">
        <f t="shared" si="6"/>
        <v>-34.999760644712666</v>
      </c>
      <c r="K30" s="64">
        <f t="shared" si="7"/>
        <v>-34.999760644712666</v>
      </c>
      <c r="L30" s="29">
        <f t="shared" si="8"/>
        <v>0</v>
      </c>
      <c r="M30" s="69">
        <f t="shared" si="9"/>
        <v>0</v>
      </c>
    </row>
    <row r="31" spans="1:13" x14ac:dyDescent="0.3">
      <c r="A31" s="12">
        <v>21</v>
      </c>
      <c r="B31" s="13">
        <v>35</v>
      </c>
      <c r="C31" s="13">
        <v>10.5</v>
      </c>
      <c r="D31" s="58">
        <f t="shared" si="0"/>
        <v>-72.627126446872481</v>
      </c>
      <c r="E31" s="58">
        <f t="shared" si="1"/>
        <v>5.0718279496209107E-6</v>
      </c>
      <c r="F31" s="58">
        <f t="shared" si="2"/>
        <v>-61.941551177159681</v>
      </c>
      <c r="G31" s="58">
        <f t="shared" si="3"/>
        <v>-35.02095548085758</v>
      </c>
      <c r="H31" s="58">
        <f t="shared" si="4"/>
        <v>-55.605198984798335</v>
      </c>
      <c r="I31" s="58">
        <f t="shared" si="5"/>
        <v>-48.296646255942974</v>
      </c>
      <c r="J31" s="55">
        <f t="shared" si="6"/>
        <v>-3.4997606447126657</v>
      </c>
      <c r="K31" s="64">
        <f t="shared" si="7"/>
        <v>5.0718279496209107E-6</v>
      </c>
      <c r="L31" s="29">
        <f t="shared" si="8"/>
        <v>2</v>
      </c>
      <c r="M31" s="69">
        <f t="shared" si="9"/>
        <v>34.99999492817205</v>
      </c>
    </row>
    <row r="32" spans="1:13" x14ac:dyDescent="0.3">
      <c r="A32" s="12">
        <v>27.650000000000002</v>
      </c>
      <c r="B32" s="13">
        <v>69.649999999999991</v>
      </c>
      <c r="C32" s="13">
        <v>27.650000000000002</v>
      </c>
      <c r="D32" s="58">
        <f t="shared" si="0"/>
        <v>-65.977126446872475</v>
      </c>
      <c r="E32" s="58">
        <f t="shared" si="1"/>
        <v>34.650005071827941</v>
      </c>
      <c r="F32" s="58">
        <f t="shared" si="2"/>
        <v>-44.791551177159675</v>
      </c>
      <c r="G32" s="58">
        <f t="shared" si="3"/>
        <v>6.2790445191424169</v>
      </c>
      <c r="H32" s="58">
        <f t="shared" si="4"/>
        <v>-31.805198984798331</v>
      </c>
      <c r="I32" s="58">
        <f t="shared" si="5"/>
        <v>3.5033537440570228</v>
      </c>
      <c r="J32" s="55">
        <f t="shared" si="6"/>
        <v>54.950239355287337</v>
      </c>
      <c r="K32" s="64">
        <f t="shared" si="7"/>
        <v>54.950239355287337</v>
      </c>
      <c r="L32" s="29">
        <f t="shared" si="8"/>
        <v>7</v>
      </c>
      <c r="M32" s="69">
        <f t="shared" si="9"/>
        <v>69.999760644712666</v>
      </c>
    </row>
    <row r="33" spans="1:13" x14ac:dyDescent="0.3">
      <c r="A33" s="12">
        <v>35</v>
      </c>
      <c r="B33" s="13">
        <v>70</v>
      </c>
      <c r="C33" s="13">
        <v>35</v>
      </c>
      <c r="D33" s="58">
        <f t="shared" si="0"/>
        <v>-58.627126446872481</v>
      </c>
      <c r="E33" s="58">
        <f t="shared" si="1"/>
        <v>35.00000507182795</v>
      </c>
      <c r="F33" s="58">
        <f t="shared" si="2"/>
        <v>-37.441551177159681</v>
      </c>
      <c r="G33" s="58">
        <f t="shared" si="3"/>
        <v>13.97904451914242</v>
      </c>
      <c r="H33" s="58">
        <f t="shared" si="4"/>
        <v>-17.105198984798335</v>
      </c>
      <c r="I33" s="58">
        <f t="shared" si="5"/>
        <v>11.203353744057026</v>
      </c>
      <c r="J33" s="55">
        <f t="shared" si="6"/>
        <v>70.000239355287334</v>
      </c>
      <c r="K33" s="64">
        <f t="shared" si="7"/>
        <v>70.000239355287334</v>
      </c>
      <c r="L33" s="29">
        <f t="shared" si="8"/>
        <v>7</v>
      </c>
      <c r="M33" s="69">
        <f t="shared" si="9"/>
        <v>69.999760644712666</v>
      </c>
    </row>
    <row r="34" spans="1:13" x14ac:dyDescent="0.3">
      <c r="A34" s="12">
        <v>14</v>
      </c>
      <c r="B34" s="13">
        <v>35</v>
      </c>
      <c r="C34" s="13">
        <v>7</v>
      </c>
      <c r="D34" s="58">
        <f t="shared" si="0"/>
        <v>-79.627126446872481</v>
      </c>
      <c r="E34" s="58">
        <f t="shared" si="1"/>
        <v>5.0718279496209107E-6</v>
      </c>
      <c r="F34" s="58">
        <f t="shared" si="2"/>
        <v>-65.441551177159681</v>
      </c>
      <c r="G34" s="58">
        <f t="shared" si="3"/>
        <v>-42.02095548085758</v>
      </c>
      <c r="H34" s="58">
        <f t="shared" si="4"/>
        <v>-66.105198984798335</v>
      </c>
      <c r="I34" s="58">
        <f t="shared" si="5"/>
        <v>-51.796646255942974</v>
      </c>
      <c r="J34" s="55">
        <f t="shared" si="6"/>
        <v>-13.999760644712666</v>
      </c>
      <c r="K34" s="64">
        <f t="shared" si="7"/>
        <v>5.0718279496209107E-6</v>
      </c>
      <c r="L34" s="29">
        <f t="shared" si="8"/>
        <v>2</v>
      </c>
      <c r="M34" s="69">
        <f t="shared" si="9"/>
        <v>34.99999492817205</v>
      </c>
    </row>
    <row r="35" spans="1:13" x14ac:dyDescent="0.3">
      <c r="A35" s="12">
        <v>21</v>
      </c>
      <c r="B35" s="13">
        <v>35</v>
      </c>
      <c r="C35" s="13">
        <v>28</v>
      </c>
      <c r="D35" s="58">
        <f t="shared" si="0"/>
        <v>-72.627126446872481</v>
      </c>
      <c r="E35" s="58">
        <f t="shared" si="1"/>
        <v>5.0718279496209107E-6</v>
      </c>
      <c r="F35" s="58">
        <f t="shared" si="2"/>
        <v>-44.441551177159681</v>
      </c>
      <c r="G35" s="58">
        <f t="shared" si="3"/>
        <v>-35.02095548085758</v>
      </c>
      <c r="H35" s="58">
        <f t="shared" si="4"/>
        <v>-38.105198984798335</v>
      </c>
      <c r="I35" s="58">
        <f t="shared" si="5"/>
        <v>-30.796646255942974</v>
      </c>
      <c r="J35" s="55">
        <f t="shared" si="6"/>
        <v>14.000239355287334</v>
      </c>
      <c r="K35" s="64">
        <f t="shared" si="7"/>
        <v>14.000239355287334</v>
      </c>
      <c r="L35" s="29">
        <f t="shared" si="8"/>
        <v>7</v>
      </c>
      <c r="M35" s="69">
        <f t="shared" si="9"/>
        <v>69.999760644712666</v>
      </c>
    </row>
    <row r="36" spans="1:13" x14ac:dyDescent="0.3">
      <c r="A36" s="12">
        <v>7</v>
      </c>
      <c r="B36" s="13">
        <v>70</v>
      </c>
      <c r="C36" s="13">
        <v>0</v>
      </c>
      <c r="D36" s="58">
        <f t="shared" si="0"/>
        <v>-86.627126446872481</v>
      </c>
      <c r="E36" s="58">
        <f t="shared" si="1"/>
        <v>35.00000507182795</v>
      </c>
      <c r="F36" s="58">
        <f t="shared" si="2"/>
        <v>-72.441551177159681</v>
      </c>
      <c r="G36" s="58">
        <f t="shared" si="3"/>
        <v>-14.02095548085758</v>
      </c>
      <c r="H36" s="58">
        <f t="shared" si="4"/>
        <v>-80.105198984798335</v>
      </c>
      <c r="I36" s="58">
        <f t="shared" si="5"/>
        <v>-23.796646255942974</v>
      </c>
      <c r="J36" s="55">
        <f t="shared" si="6"/>
        <v>7.0002393552873343</v>
      </c>
      <c r="K36" s="64">
        <f t="shared" si="7"/>
        <v>35.00000507182795</v>
      </c>
      <c r="L36" s="29">
        <f t="shared" si="8"/>
        <v>2</v>
      </c>
      <c r="M36" s="69">
        <f t="shared" si="9"/>
        <v>34.99999492817205</v>
      </c>
    </row>
    <row r="37" spans="1:13" x14ac:dyDescent="0.3">
      <c r="A37" s="12">
        <v>3.5</v>
      </c>
      <c r="B37" s="13">
        <v>7</v>
      </c>
      <c r="C37" s="13">
        <v>10.5</v>
      </c>
      <c r="D37" s="58">
        <f t="shared" si="0"/>
        <v>-90.127126446872481</v>
      </c>
      <c r="E37" s="58">
        <f t="shared" si="1"/>
        <v>-27.99999492817205</v>
      </c>
      <c r="F37" s="58">
        <f t="shared" si="2"/>
        <v>-61.941551177159681</v>
      </c>
      <c r="G37" s="58">
        <f t="shared" si="3"/>
        <v>-80.52095548085758</v>
      </c>
      <c r="H37" s="58">
        <f t="shared" si="4"/>
        <v>-73.105198984798335</v>
      </c>
      <c r="I37" s="58">
        <f t="shared" si="5"/>
        <v>-76.296646255942974</v>
      </c>
      <c r="J37" s="55">
        <f t="shared" si="6"/>
        <v>-48.999760644712666</v>
      </c>
      <c r="K37" s="64">
        <f t="shared" si="7"/>
        <v>-27.99999492817205</v>
      </c>
      <c r="L37" s="29">
        <f t="shared" si="8"/>
        <v>0</v>
      </c>
      <c r="M37" s="69">
        <f t="shared" si="9"/>
        <v>0</v>
      </c>
    </row>
    <row r="38" spans="1:13" x14ac:dyDescent="0.3">
      <c r="A38" s="12">
        <v>0</v>
      </c>
      <c r="B38" s="13">
        <v>21</v>
      </c>
      <c r="C38" s="13">
        <v>14</v>
      </c>
      <c r="D38" s="58">
        <f t="shared" si="0"/>
        <v>-93.627126446872481</v>
      </c>
      <c r="E38" s="58">
        <f t="shared" si="1"/>
        <v>-13.99999492817205</v>
      </c>
      <c r="F38" s="58">
        <f t="shared" si="2"/>
        <v>-58.441551177159681</v>
      </c>
      <c r="G38" s="58">
        <f t="shared" si="3"/>
        <v>-70.02095548085758</v>
      </c>
      <c r="H38" s="58">
        <f t="shared" si="4"/>
        <v>-73.105198984798335</v>
      </c>
      <c r="I38" s="58">
        <f t="shared" si="5"/>
        <v>-58.796646255942974</v>
      </c>
      <c r="J38" s="55">
        <f t="shared" si="6"/>
        <v>-34.999760644712666</v>
      </c>
      <c r="K38" s="64">
        <f t="shared" si="7"/>
        <v>-13.99999492817205</v>
      </c>
      <c r="L38" s="29">
        <f t="shared" si="8"/>
        <v>0</v>
      </c>
      <c r="M38" s="69">
        <f t="shared" si="9"/>
        <v>0</v>
      </c>
    </row>
    <row r="39" spans="1:13" x14ac:dyDescent="0.3">
      <c r="A39" s="12">
        <v>21</v>
      </c>
      <c r="B39" s="13">
        <v>56</v>
      </c>
      <c r="C39" s="13">
        <v>35</v>
      </c>
      <c r="D39" s="58">
        <f t="shared" si="0"/>
        <v>-72.627126446872481</v>
      </c>
      <c r="E39" s="58">
        <f t="shared" si="1"/>
        <v>21.00000507182795</v>
      </c>
      <c r="F39" s="58">
        <f t="shared" si="2"/>
        <v>-37.441551177159681</v>
      </c>
      <c r="G39" s="58">
        <f t="shared" si="3"/>
        <v>-14.02095548085758</v>
      </c>
      <c r="H39" s="58">
        <f t="shared" si="4"/>
        <v>-31.105198984798335</v>
      </c>
      <c r="I39" s="58">
        <f t="shared" si="5"/>
        <v>-2.7966462559429743</v>
      </c>
      <c r="J39" s="55">
        <f t="shared" si="6"/>
        <v>42.000239355287334</v>
      </c>
      <c r="K39" s="64">
        <f t="shared" si="7"/>
        <v>42.000239355287334</v>
      </c>
      <c r="L39" s="29">
        <f t="shared" si="8"/>
        <v>7</v>
      </c>
      <c r="M39" s="69">
        <f t="shared" si="9"/>
        <v>69.999760644712666</v>
      </c>
    </row>
    <row r="40" spans="1:13" x14ac:dyDescent="0.3">
      <c r="A40" s="12">
        <v>49</v>
      </c>
      <c r="B40" s="13">
        <v>105</v>
      </c>
      <c r="C40" s="13">
        <v>0</v>
      </c>
      <c r="D40" s="58">
        <f t="shared" si="0"/>
        <v>-44.627126446872481</v>
      </c>
      <c r="E40" s="58">
        <f t="shared" si="1"/>
        <v>70.000005071827957</v>
      </c>
      <c r="F40" s="58">
        <f t="shared" si="2"/>
        <v>-72.441551177159681</v>
      </c>
      <c r="G40" s="58">
        <f t="shared" si="3"/>
        <v>62.97904451914242</v>
      </c>
      <c r="H40" s="58">
        <f t="shared" si="4"/>
        <v>-38.105198984798335</v>
      </c>
      <c r="I40" s="58">
        <f t="shared" si="5"/>
        <v>11.203353744057026</v>
      </c>
      <c r="J40" s="55">
        <f t="shared" si="6"/>
        <v>84.000239355287334</v>
      </c>
      <c r="K40" s="64">
        <f t="shared" si="7"/>
        <v>84.000239355287334</v>
      </c>
      <c r="L40" s="29">
        <f t="shared" si="8"/>
        <v>7</v>
      </c>
      <c r="M40" s="69">
        <f t="shared" si="9"/>
        <v>69.999760644712666</v>
      </c>
    </row>
    <row r="41" spans="1:13" x14ac:dyDescent="0.3">
      <c r="A41" s="12">
        <v>70</v>
      </c>
      <c r="B41" s="13">
        <v>70</v>
      </c>
      <c r="C41" s="13">
        <v>140</v>
      </c>
      <c r="D41" s="58">
        <f t="shared" si="0"/>
        <v>-23.627126446872481</v>
      </c>
      <c r="E41" s="58">
        <f t="shared" si="1"/>
        <v>35.00000507182795</v>
      </c>
      <c r="F41" s="58">
        <f t="shared" si="2"/>
        <v>67.558448822840319</v>
      </c>
      <c r="G41" s="58">
        <f t="shared" si="3"/>
        <v>48.97904451914242</v>
      </c>
      <c r="H41" s="58">
        <f t="shared" si="4"/>
        <v>122.89480101520166</v>
      </c>
      <c r="I41" s="58">
        <f t="shared" si="5"/>
        <v>116.20335374405703</v>
      </c>
      <c r="J41" s="55">
        <f t="shared" si="6"/>
        <v>210.00023935528733</v>
      </c>
      <c r="K41" s="64">
        <f t="shared" si="7"/>
        <v>210.00023935528733</v>
      </c>
      <c r="L41" s="29">
        <f t="shared" si="8"/>
        <v>7</v>
      </c>
      <c r="M41" s="69">
        <f t="shared" si="9"/>
        <v>69.999760644712666</v>
      </c>
    </row>
    <row r="42" spans="1:13" x14ac:dyDescent="0.3">
      <c r="A42" s="12">
        <v>21</v>
      </c>
      <c r="B42" s="13">
        <v>105</v>
      </c>
      <c r="C42" s="13">
        <v>14</v>
      </c>
      <c r="D42" s="58">
        <f t="shared" si="0"/>
        <v>-72.627126446872481</v>
      </c>
      <c r="E42" s="58">
        <f t="shared" si="1"/>
        <v>70.000005071827957</v>
      </c>
      <c r="F42" s="58">
        <f t="shared" si="2"/>
        <v>-58.441551177159681</v>
      </c>
      <c r="G42" s="58">
        <f t="shared" si="3"/>
        <v>34.97904451914242</v>
      </c>
      <c r="H42" s="58">
        <f t="shared" si="4"/>
        <v>-52.105198984798335</v>
      </c>
      <c r="I42" s="58">
        <f t="shared" si="5"/>
        <v>25.203353744057026</v>
      </c>
      <c r="J42" s="55">
        <f t="shared" si="6"/>
        <v>70.000239355287334</v>
      </c>
      <c r="K42" s="64">
        <f t="shared" si="7"/>
        <v>70.000239355287334</v>
      </c>
      <c r="L42" s="29">
        <f t="shared" si="8"/>
        <v>7</v>
      </c>
      <c r="M42" s="69">
        <f t="shared" si="9"/>
        <v>69.999760644712666</v>
      </c>
    </row>
    <row r="43" spans="1:13" x14ac:dyDescent="0.3">
      <c r="A43" s="12">
        <v>21</v>
      </c>
      <c r="B43" s="13">
        <v>35</v>
      </c>
      <c r="C43" s="13">
        <v>14</v>
      </c>
      <c r="D43" s="58">
        <f t="shared" si="0"/>
        <v>-72.627126446872481</v>
      </c>
      <c r="E43" s="58">
        <f t="shared" si="1"/>
        <v>5.0718279496209107E-6</v>
      </c>
      <c r="F43" s="58">
        <f t="shared" si="2"/>
        <v>-58.441551177159681</v>
      </c>
      <c r="G43" s="58">
        <f t="shared" si="3"/>
        <v>-35.02095548085758</v>
      </c>
      <c r="H43" s="58">
        <f t="shared" si="4"/>
        <v>-52.105198984798335</v>
      </c>
      <c r="I43" s="58">
        <f t="shared" si="5"/>
        <v>-44.796646255942974</v>
      </c>
      <c r="J43" s="55">
        <f t="shared" si="6"/>
        <v>2.3935528733431966E-4</v>
      </c>
      <c r="K43" s="64">
        <f t="shared" si="7"/>
        <v>2.3935528733431966E-4</v>
      </c>
      <c r="L43" s="29">
        <f t="shared" si="8"/>
        <v>7</v>
      </c>
      <c r="M43" s="69">
        <f t="shared" si="9"/>
        <v>69.999760644712666</v>
      </c>
    </row>
    <row r="44" spans="1:13" x14ac:dyDescent="0.3">
      <c r="A44" s="12">
        <v>0</v>
      </c>
      <c r="B44" s="13">
        <v>140</v>
      </c>
      <c r="C44" s="13">
        <v>0</v>
      </c>
      <c r="D44" s="58">
        <f t="shared" si="0"/>
        <v>-93.627126446872481</v>
      </c>
      <c r="E44" s="58">
        <f t="shared" si="1"/>
        <v>105.00000507182796</v>
      </c>
      <c r="F44" s="58">
        <f t="shared" si="2"/>
        <v>-72.441551177159681</v>
      </c>
      <c r="G44" s="58">
        <f t="shared" si="3"/>
        <v>48.97904451914242</v>
      </c>
      <c r="H44" s="58">
        <f t="shared" si="4"/>
        <v>-87.105198984798335</v>
      </c>
      <c r="I44" s="58">
        <f t="shared" si="5"/>
        <v>46.203353744057026</v>
      </c>
      <c r="J44" s="55">
        <f t="shared" si="6"/>
        <v>70.000239355287334</v>
      </c>
      <c r="K44" s="64">
        <f t="shared" si="7"/>
        <v>105.00000507182796</v>
      </c>
      <c r="L44" s="29">
        <f t="shared" si="8"/>
        <v>2</v>
      </c>
      <c r="M44" s="69">
        <f t="shared" si="9"/>
        <v>34.99999492817205</v>
      </c>
    </row>
    <row r="45" spans="1:13" x14ac:dyDescent="0.3">
      <c r="A45" s="12">
        <v>0</v>
      </c>
      <c r="B45" s="13">
        <v>35</v>
      </c>
      <c r="C45" s="13">
        <v>0</v>
      </c>
      <c r="D45" s="58">
        <f t="shared" si="0"/>
        <v>-93.627126446872481</v>
      </c>
      <c r="E45" s="58">
        <f t="shared" si="1"/>
        <v>5.0718279496209107E-6</v>
      </c>
      <c r="F45" s="58">
        <f t="shared" si="2"/>
        <v>-72.441551177159681</v>
      </c>
      <c r="G45" s="58">
        <f t="shared" si="3"/>
        <v>-56.02095548085758</v>
      </c>
      <c r="H45" s="58">
        <f t="shared" si="4"/>
        <v>-87.105198984798335</v>
      </c>
      <c r="I45" s="58">
        <f t="shared" si="5"/>
        <v>-58.796646255942974</v>
      </c>
      <c r="J45" s="55">
        <f t="shared" si="6"/>
        <v>-34.999760644712666</v>
      </c>
      <c r="K45" s="64">
        <f t="shared" si="7"/>
        <v>5.0718279496209107E-6</v>
      </c>
      <c r="L45" s="29">
        <f t="shared" si="8"/>
        <v>2</v>
      </c>
      <c r="M45" s="69">
        <f t="shared" si="9"/>
        <v>34.99999492817205</v>
      </c>
    </row>
    <row r="46" spans="1:13" x14ac:dyDescent="0.3">
      <c r="A46" s="12">
        <v>7</v>
      </c>
      <c r="B46" s="13">
        <v>35</v>
      </c>
      <c r="C46" s="13">
        <v>21</v>
      </c>
      <c r="D46" s="58">
        <f t="shared" si="0"/>
        <v>-86.627126446872481</v>
      </c>
      <c r="E46" s="58">
        <f t="shared" si="1"/>
        <v>5.0718279496209107E-6</v>
      </c>
      <c r="F46" s="58">
        <f t="shared" si="2"/>
        <v>-51.441551177159681</v>
      </c>
      <c r="G46" s="58">
        <f t="shared" si="3"/>
        <v>-49.02095548085758</v>
      </c>
      <c r="H46" s="58">
        <f t="shared" si="4"/>
        <v>-59.105198984798335</v>
      </c>
      <c r="I46" s="58">
        <f t="shared" si="5"/>
        <v>-37.796646255942974</v>
      </c>
      <c r="J46" s="55">
        <f t="shared" si="6"/>
        <v>-6.9997606447126657</v>
      </c>
      <c r="K46" s="64">
        <f t="shared" si="7"/>
        <v>5.0718279496209107E-6</v>
      </c>
      <c r="L46" s="29">
        <f t="shared" si="8"/>
        <v>2</v>
      </c>
      <c r="M46" s="69">
        <f t="shared" si="9"/>
        <v>34.99999492817205</v>
      </c>
    </row>
    <row r="47" spans="1:13" x14ac:dyDescent="0.3">
      <c r="A47" s="12">
        <v>35</v>
      </c>
      <c r="B47" s="13">
        <v>35</v>
      </c>
      <c r="C47" s="13">
        <v>35</v>
      </c>
      <c r="D47" s="58">
        <f t="shared" si="0"/>
        <v>-58.627126446872481</v>
      </c>
      <c r="E47" s="58">
        <f t="shared" si="1"/>
        <v>5.0718279496209107E-6</v>
      </c>
      <c r="F47" s="58">
        <f t="shared" si="2"/>
        <v>-37.441551177159681</v>
      </c>
      <c r="G47" s="58">
        <f t="shared" si="3"/>
        <v>-21.02095548085758</v>
      </c>
      <c r="H47" s="58">
        <f t="shared" si="4"/>
        <v>-17.105198984798335</v>
      </c>
      <c r="I47" s="58">
        <f t="shared" si="5"/>
        <v>-23.796646255942974</v>
      </c>
      <c r="J47" s="55">
        <f t="shared" si="6"/>
        <v>35.000239355287334</v>
      </c>
      <c r="K47" s="64">
        <f t="shared" si="7"/>
        <v>35.000239355287334</v>
      </c>
      <c r="L47" s="29">
        <f t="shared" si="8"/>
        <v>7</v>
      </c>
      <c r="M47" s="69">
        <f t="shared" si="9"/>
        <v>69.999760644712666</v>
      </c>
    </row>
    <row r="48" spans="1:13" x14ac:dyDescent="0.3">
      <c r="A48" s="12">
        <v>21</v>
      </c>
      <c r="B48" s="13">
        <v>31.5</v>
      </c>
      <c r="C48" s="13">
        <v>17.5</v>
      </c>
      <c r="D48" s="58">
        <f t="shared" si="0"/>
        <v>-72.627126446872481</v>
      </c>
      <c r="E48" s="58">
        <f t="shared" si="1"/>
        <v>-3.4999949281720504</v>
      </c>
      <c r="F48" s="58">
        <f t="shared" si="2"/>
        <v>-54.941551177159681</v>
      </c>
      <c r="G48" s="58">
        <f t="shared" si="3"/>
        <v>-38.52095548085758</v>
      </c>
      <c r="H48" s="58">
        <f t="shared" si="4"/>
        <v>-48.605198984798335</v>
      </c>
      <c r="I48" s="58">
        <f t="shared" si="5"/>
        <v>-44.796646255942974</v>
      </c>
      <c r="J48" s="55">
        <f t="shared" si="6"/>
        <v>2.3935528733431966E-4</v>
      </c>
      <c r="K48" s="64">
        <f t="shared" si="7"/>
        <v>2.3935528733431966E-4</v>
      </c>
      <c r="L48" s="29">
        <f t="shared" si="8"/>
        <v>7</v>
      </c>
      <c r="M48" s="69">
        <f t="shared" si="9"/>
        <v>69.999760644712666</v>
      </c>
    </row>
    <row r="49" spans="1:13" x14ac:dyDescent="0.3">
      <c r="A49" s="12">
        <v>7</v>
      </c>
      <c r="B49" s="13">
        <v>21</v>
      </c>
      <c r="C49" s="13">
        <v>7</v>
      </c>
      <c r="D49" s="58">
        <f t="shared" si="0"/>
        <v>-86.627126446872481</v>
      </c>
      <c r="E49" s="58">
        <f t="shared" si="1"/>
        <v>-13.99999492817205</v>
      </c>
      <c r="F49" s="58">
        <f t="shared" si="2"/>
        <v>-65.441551177159681</v>
      </c>
      <c r="G49" s="58">
        <f t="shared" si="3"/>
        <v>-63.02095548085758</v>
      </c>
      <c r="H49" s="58">
        <f t="shared" si="4"/>
        <v>-73.105198984798335</v>
      </c>
      <c r="I49" s="58">
        <f t="shared" si="5"/>
        <v>-65.796646255942974</v>
      </c>
      <c r="J49" s="55">
        <f t="shared" si="6"/>
        <v>-34.999760644712666</v>
      </c>
      <c r="K49" s="64">
        <f t="shared" si="7"/>
        <v>-13.99999492817205</v>
      </c>
      <c r="L49" s="29">
        <f t="shared" si="8"/>
        <v>0</v>
      </c>
      <c r="M49" s="69">
        <f t="shared" si="9"/>
        <v>0</v>
      </c>
    </row>
    <row r="50" spans="1:13" x14ac:dyDescent="0.3">
      <c r="A50" s="12">
        <v>35</v>
      </c>
      <c r="B50" s="13">
        <v>35</v>
      </c>
      <c r="C50" s="13">
        <v>35</v>
      </c>
      <c r="D50" s="58">
        <f t="shared" si="0"/>
        <v>-58.627126446872481</v>
      </c>
      <c r="E50" s="58">
        <f t="shared" si="1"/>
        <v>5.0718279496209107E-6</v>
      </c>
      <c r="F50" s="58">
        <f t="shared" si="2"/>
        <v>-37.441551177159681</v>
      </c>
      <c r="G50" s="58">
        <f t="shared" si="3"/>
        <v>-21.02095548085758</v>
      </c>
      <c r="H50" s="58">
        <f t="shared" si="4"/>
        <v>-17.105198984798335</v>
      </c>
      <c r="I50" s="58">
        <f t="shared" si="5"/>
        <v>-23.796646255942974</v>
      </c>
      <c r="J50" s="55">
        <f t="shared" si="6"/>
        <v>35.000239355287334</v>
      </c>
      <c r="K50" s="64">
        <f t="shared" si="7"/>
        <v>35.000239355287334</v>
      </c>
      <c r="L50" s="29">
        <f t="shared" si="8"/>
        <v>7</v>
      </c>
      <c r="M50" s="69">
        <f t="shared" si="9"/>
        <v>69.999760644712666</v>
      </c>
    </row>
    <row r="51" spans="1:13" x14ac:dyDescent="0.3">
      <c r="A51" s="12">
        <v>28</v>
      </c>
      <c r="B51" s="13">
        <v>70</v>
      </c>
      <c r="C51" s="13">
        <v>70</v>
      </c>
      <c r="D51" s="58">
        <f t="shared" si="0"/>
        <v>-65.627126446872481</v>
      </c>
      <c r="E51" s="58">
        <f t="shared" si="1"/>
        <v>35.00000507182795</v>
      </c>
      <c r="F51" s="58">
        <f t="shared" si="2"/>
        <v>-2.4415511771596812</v>
      </c>
      <c r="G51" s="58">
        <f t="shared" si="3"/>
        <v>6.9790445191424197</v>
      </c>
      <c r="H51" s="58">
        <f t="shared" si="4"/>
        <v>10.894801015201665</v>
      </c>
      <c r="I51" s="58">
        <f t="shared" si="5"/>
        <v>46.203353744057026</v>
      </c>
      <c r="J51" s="55">
        <f t="shared" si="6"/>
        <v>98.000239355287334</v>
      </c>
      <c r="K51" s="64">
        <f t="shared" si="7"/>
        <v>98.000239355287334</v>
      </c>
      <c r="L51" s="29">
        <f t="shared" si="8"/>
        <v>7</v>
      </c>
      <c r="M51" s="69">
        <f t="shared" si="9"/>
        <v>69.999760644712666</v>
      </c>
    </row>
    <row r="52" spans="1:13" x14ac:dyDescent="0.3">
      <c r="A52" s="12">
        <v>21</v>
      </c>
      <c r="B52" s="13">
        <v>0</v>
      </c>
      <c r="C52" s="13">
        <v>14</v>
      </c>
      <c r="D52" s="58">
        <f t="shared" si="0"/>
        <v>-72.627126446872481</v>
      </c>
      <c r="E52" s="58">
        <f t="shared" si="1"/>
        <v>-34.99999492817205</v>
      </c>
      <c r="F52" s="58">
        <f t="shared" si="2"/>
        <v>-58.441551177159681</v>
      </c>
      <c r="G52" s="58">
        <f t="shared" si="3"/>
        <v>-70.02095548085758</v>
      </c>
      <c r="H52" s="58">
        <f t="shared" si="4"/>
        <v>-52.105198984798335</v>
      </c>
      <c r="I52" s="58">
        <f t="shared" si="5"/>
        <v>-79.796646255942974</v>
      </c>
      <c r="J52" s="55">
        <f t="shared" si="6"/>
        <v>-34.999760644712666</v>
      </c>
      <c r="K52" s="64">
        <f t="shared" si="7"/>
        <v>-34.999760644712666</v>
      </c>
      <c r="L52" s="29">
        <f t="shared" si="8"/>
        <v>0</v>
      </c>
      <c r="M52" s="69">
        <f t="shared" si="9"/>
        <v>0</v>
      </c>
    </row>
    <row r="53" spans="1:13" x14ac:dyDescent="0.3">
      <c r="A53" s="12">
        <v>35</v>
      </c>
      <c r="B53" s="13">
        <v>35</v>
      </c>
      <c r="C53" s="13">
        <v>35</v>
      </c>
      <c r="D53" s="58">
        <f t="shared" si="0"/>
        <v>-58.627126446872481</v>
      </c>
      <c r="E53" s="58">
        <f t="shared" si="1"/>
        <v>5.0718279496209107E-6</v>
      </c>
      <c r="F53" s="58">
        <f t="shared" si="2"/>
        <v>-37.441551177159681</v>
      </c>
      <c r="G53" s="58">
        <f t="shared" si="3"/>
        <v>-21.02095548085758</v>
      </c>
      <c r="H53" s="58">
        <f t="shared" si="4"/>
        <v>-17.105198984798335</v>
      </c>
      <c r="I53" s="58">
        <f t="shared" si="5"/>
        <v>-23.796646255942974</v>
      </c>
      <c r="J53" s="55">
        <f t="shared" si="6"/>
        <v>35.000239355287334</v>
      </c>
      <c r="K53" s="64">
        <f t="shared" si="7"/>
        <v>35.000239355287334</v>
      </c>
      <c r="L53" s="29">
        <f t="shared" si="8"/>
        <v>7</v>
      </c>
      <c r="M53" s="69">
        <f t="shared" si="9"/>
        <v>69.999760644712666</v>
      </c>
    </row>
    <row r="54" spans="1:13" x14ac:dyDescent="0.3">
      <c r="A54" s="12">
        <v>35</v>
      </c>
      <c r="B54" s="13">
        <v>49</v>
      </c>
      <c r="C54" s="13">
        <v>21</v>
      </c>
      <c r="D54" s="58">
        <f t="shared" si="0"/>
        <v>-58.627126446872481</v>
      </c>
      <c r="E54" s="58">
        <f t="shared" si="1"/>
        <v>14.00000507182795</v>
      </c>
      <c r="F54" s="58">
        <f t="shared" si="2"/>
        <v>-51.441551177159681</v>
      </c>
      <c r="G54" s="58">
        <f t="shared" si="3"/>
        <v>-7.0209554808575803</v>
      </c>
      <c r="H54" s="58">
        <f t="shared" si="4"/>
        <v>-31.105198984798335</v>
      </c>
      <c r="I54" s="58">
        <f t="shared" si="5"/>
        <v>-23.796646255942974</v>
      </c>
      <c r="J54" s="55">
        <f t="shared" si="6"/>
        <v>35.000239355287334</v>
      </c>
      <c r="K54" s="64">
        <f t="shared" si="7"/>
        <v>35.000239355287334</v>
      </c>
      <c r="L54" s="29">
        <f t="shared" si="8"/>
        <v>7</v>
      </c>
      <c r="M54" s="69">
        <f t="shared" si="9"/>
        <v>69.999760644712666</v>
      </c>
    </row>
    <row r="55" spans="1:13" x14ac:dyDescent="0.3">
      <c r="A55" s="12">
        <v>70</v>
      </c>
      <c r="B55" s="13">
        <v>70</v>
      </c>
      <c r="C55" s="13">
        <v>35</v>
      </c>
      <c r="D55" s="58">
        <f t="shared" si="0"/>
        <v>-23.627126446872481</v>
      </c>
      <c r="E55" s="58">
        <f t="shared" si="1"/>
        <v>35.00000507182795</v>
      </c>
      <c r="F55" s="58">
        <f t="shared" si="2"/>
        <v>-37.441551177159681</v>
      </c>
      <c r="G55" s="58">
        <f t="shared" si="3"/>
        <v>48.97904451914242</v>
      </c>
      <c r="H55" s="58">
        <f t="shared" si="4"/>
        <v>17.894801015201665</v>
      </c>
      <c r="I55" s="58">
        <f t="shared" si="5"/>
        <v>11.203353744057026</v>
      </c>
      <c r="J55" s="55">
        <f t="shared" si="6"/>
        <v>105.00023935528733</v>
      </c>
      <c r="K55" s="64">
        <f t="shared" si="7"/>
        <v>105.00023935528733</v>
      </c>
      <c r="L55" s="29">
        <f t="shared" si="8"/>
        <v>7</v>
      </c>
      <c r="M55" s="69">
        <f t="shared" si="9"/>
        <v>69.999760644712666</v>
      </c>
    </row>
    <row r="56" spans="1:13" x14ac:dyDescent="0.3">
      <c r="A56" s="12">
        <v>5.25</v>
      </c>
      <c r="B56" s="13">
        <v>17.5</v>
      </c>
      <c r="C56" s="13">
        <v>8.75</v>
      </c>
      <c r="D56" s="58">
        <f t="shared" si="0"/>
        <v>-88.377126446872481</v>
      </c>
      <c r="E56" s="58">
        <f t="shared" si="1"/>
        <v>-17.49999492817205</v>
      </c>
      <c r="F56" s="58">
        <f t="shared" si="2"/>
        <v>-63.691551177159681</v>
      </c>
      <c r="G56" s="58">
        <f t="shared" si="3"/>
        <v>-68.27095548085758</v>
      </c>
      <c r="H56" s="58">
        <f t="shared" si="4"/>
        <v>-73.105198984798335</v>
      </c>
      <c r="I56" s="58">
        <f t="shared" si="5"/>
        <v>-67.546646255942974</v>
      </c>
      <c r="J56" s="55">
        <f t="shared" si="6"/>
        <v>-38.499760644712666</v>
      </c>
      <c r="K56" s="64">
        <f t="shared" si="7"/>
        <v>-17.49999492817205</v>
      </c>
      <c r="L56" s="29">
        <f t="shared" si="8"/>
        <v>0</v>
      </c>
      <c r="M56" s="69">
        <f t="shared" si="9"/>
        <v>0</v>
      </c>
    </row>
    <row r="57" spans="1:13" x14ac:dyDescent="0.3">
      <c r="A57" s="12">
        <v>0</v>
      </c>
      <c r="B57" s="13">
        <v>35</v>
      </c>
      <c r="C57" s="13">
        <v>0</v>
      </c>
      <c r="D57" s="58">
        <f t="shared" si="0"/>
        <v>-93.627126446872481</v>
      </c>
      <c r="E57" s="58">
        <f t="shared" si="1"/>
        <v>5.0718279496209107E-6</v>
      </c>
      <c r="F57" s="58">
        <f t="shared" si="2"/>
        <v>-72.441551177159681</v>
      </c>
      <c r="G57" s="58">
        <f t="shared" si="3"/>
        <v>-56.02095548085758</v>
      </c>
      <c r="H57" s="58">
        <f t="shared" si="4"/>
        <v>-87.105198984798335</v>
      </c>
      <c r="I57" s="58">
        <f t="shared" si="5"/>
        <v>-58.796646255942974</v>
      </c>
      <c r="J57" s="55">
        <f t="shared" si="6"/>
        <v>-34.999760644712666</v>
      </c>
      <c r="K57" s="64">
        <f t="shared" si="7"/>
        <v>5.0718279496209107E-6</v>
      </c>
      <c r="L57" s="29">
        <f t="shared" si="8"/>
        <v>2</v>
      </c>
      <c r="M57" s="69">
        <f t="shared" si="9"/>
        <v>34.99999492817205</v>
      </c>
    </row>
    <row r="58" spans="1:13" x14ac:dyDescent="0.3">
      <c r="A58" s="12">
        <v>21</v>
      </c>
      <c r="B58" s="13">
        <v>35</v>
      </c>
      <c r="C58" s="13">
        <v>35</v>
      </c>
      <c r="D58" s="58">
        <f t="shared" si="0"/>
        <v>-72.627126446872481</v>
      </c>
      <c r="E58" s="58">
        <f t="shared" si="1"/>
        <v>5.0718279496209107E-6</v>
      </c>
      <c r="F58" s="58">
        <f t="shared" si="2"/>
        <v>-37.441551177159681</v>
      </c>
      <c r="G58" s="58">
        <f t="shared" si="3"/>
        <v>-35.02095548085758</v>
      </c>
      <c r="H58" s="58">
        <f t="shared" si="4"/>
        <v>-31.105198984798335</v>
      </c>
      <c r="I58" s="58">
        <f t="shared" si="5"/>
        <v>-23.796646255942974</v>
      </c>
      <c r="J58" s="55">
        <f t="shared" si="6"/>
        <v>21.000239355287334</v>
      </c>
      <c r="K58" s="64">
        <f t="shared" si="7"/>
        <v>21.000239355287334</v>
      </c>
      <c r="L58" s="29">
        <f t="shared" si="8"/>
        <v>7</v>
      </c>
      <c r="M58" s="69">
        <f t="shared" si="9"/>
        <v>69.999760644712666</v>
      </c>
    </row>
    <row r="59" spans="1:13" x14ac:dyDescent="0.3">
      <c r="A59" s="12">
        <v>24.5</v>
      </c>
      <c r="B59" s="13">
        <v>14</v>
      </c>
      <c r="C59" s="13">
        <v>14</v>
      </c>
      <c r="D59" s="58">
        <f t="shared" si="0"/>
        <v>-69.127126446872481</v>
      </c>
      <c r="E59" s="58">
        <f t="shared" si="1"/>
        <v>-20.99999492817205</v>
      </c>
      <c r="F59" s="58">
        <f t="shared" si="2"/>
        <v>-58.441551177159681</v>
      </c>
      <c r="G59" s="58">
        <f t="shared" si="3"/>
        <v>-52.52095548085758</v>
      </c>
      <c r="H59" s="58">
        <f t="shared" si="4"/>
        <v>-48.605198984798335</v>
      </c>
      <c r="I59" s="58">
        <f t="shared" si="5"/>
        <v>-65.796646255942974</v>
      </c>
      <c r="J59" s="55">
        <f t="shared" si="6"/>
        <v>-17.499760644712666</v>
      </c>
      <c r="K59" s="64">
        <f t="shared" si="7"/>
        <v>-17.499760644712666</v>
      </c>
      <c r="L59" s="29">
        <f t="shared" si="8"/>
        <v>0</v>
      </c>
      <c r="M59" s="69">
        <f t="shared" si="9"/>
        <v>0</v>
      </c>
    </row>
    <row r="60" spans="1:13" x14ac:dyDescent="0.3">
      <c r="A60" s="12">
        <v>24.5</v>
      </c>
      <c r="B60" s="13">
        <v>35</v>
      </c>
      <c r="C60" s="13">
        <v>24.5</v>
      </c>
      <c r="D60" s="58">
        <f t="shared" si="0"/>
        <v>-69.127126446872481</v>
      </c>
      <c r="E60" s="58">
        <f t="shared" si="1"/>
        <v>5.0718279496209107E-6</v>
      </c>
      <c r="F60" s="58">
        <f t="shared" si="2"/>
        <v>-47.941551177159681</v>
      </c>
      <c r="G60" s="58">
        <f t="shared" si="3"/>
        <v>-31.52095548085758</v>
      </c>
      <c r="H60" s="58">
        <f t="shared" si="4"/>
        <v>-38.105198984798335</v>
      </c>
      <c r="I60" s="58">
        <f t="shared" si="5"/>
        <v>-34.296646255942974</v>
      </c>
      <c r="J60" s="55">
        <f t="shared" si="6"/>
        <v>14.000239355287334</v>
      </c>
      <c r="K60" s="64">
        <f t="shared" si="7"/>
        <v>14.000239355287334</v>
      </c>
      <c r="L60" s="29">
        <f t="shared" si="8"/>
        <v>7</v>
      </c>
      <c r="M60" s="69">
        <f t="shared" si="9"/>
        <v>69.999760644712666</v>
      </c>
    </row>
    <row r="61" spans="1:13" x14ac:dyDescent="0.3">
      <c r="A61" s="12">
        <v>21</v>
      </c>
      <c r="B61" s="13">
        <v>35</v>
      </c>
      <c r="C61" s="13">
        <v>52.5</v>
      </c>
      <c r="D61" s="58">
        <f t="shared" si="0"/>
        <v>-72.627126446872481</v>
      </c>
      <c r="E61" s="58">
        <f t="shared" si="1"/>
        <v>5.0718279496209107E-6</v>
      </c>
      <c r="F61" s="58">
        <f t="shared" si="2"/>
        <v>-19.941551177159681</v>
      </c>
      <c r="G61" s="58">
        <f t="shared" si="3"/>
        <v>-35.02095548085758</v>
      </c>
      <c r="H61" s="58">
        <f t="shared" si="4"/>
        <v>-13.605198984798335</v>
      </c>
      <c r="I61" s="58">
        <f t="shared" si="5"/>
        <v>-6.2966462559429743</v>
      </c>
      <c r="J61" s="55">
        <f t="shared" si="6"/>
        <v>38.500239355287334</v>
      </c>
      <c r="K61" s="64">
        <f t="shared" si="7"/>
        <v>38.500239355287334</v>
      </c>
      <c r="L61" s="29">
        <f t="shared" si="8"/>
        <v>7</v>
      </c>
      <c r="M61" s="69">
        <f t="shared" si="9"/>
        <v>69.999760644712666</v>
      </c>
    </row>
    <row r="62" spans="1:13" x14ac:dyDescent="0.3">
      <c r="A62" s="12">
        <v>35</v>
      </c>
      <c r="B62" s="13">
        <v>21</v>
      </c>
      <c r="C62" s="13">
        <v>70</v>
      </c>
      <c r="D62" s="58">
        <f t="shared" si="0"/>
        <v>-58.627126446872481</v>
      </c>
      <c r="E62" s="58">
        <f t="shared" si="1"/>
        <v>-13.99999492817205</v>
      </c>
      <c r="F62" s="58">
        <f t="shared" si="2"/>
        <v>-2.4415511771596812</v>
      </c>
      <c r="G62" s="58">
        <f t="shared" si="3"/>
        <v>-35.02095548085758</v>
      </c>
      <c r="H62" s="58">
        <f t="shared" si="4"/>
        <v>17.894801015201665</v>
      </c>
      <c r="I62" s="58">
        <f t="shared" si="5"/>
        <v>-2.7966462559429743</v>
      </c>
      <c r="J62" s="55">
        <f t="shared" si="6"/>
        <v>56.000239355287334</v>
      </c>
      <c r="K62" s="64">
        <f t="shared" si="7"/>
        <v>56.000239355287334</v>
      </c>
      <c r="L62" s="29">
        <f t="shared" si="8"/>
        <v>7</v>
      </c>
      <c r="M62" s="69">
        <f t="shared" si="9"/>
        <v>69.999760644712666</v>
      </c>
    </row>
    <row r="63" spans="1:13" x14ac:dyDescent="0.3">
      <c r="A63" s="12">
        <v>7</v>
      </c>
      <c r="B63" s="13">
        <v>7</v>
      </c>
      <c r="C63" s="13">
        <v>14</v>
      </c>
      <c r="D63" s="58">
        <f t="shared" si="0"/>
        <v>-86.627126446872481</v>
      </c>
      <c r="E63" s="58">
        <f t="shared" si="1"/>
        <v>-27.99999492817205</v>
      </c>
      <c r="F63" s="58">
        <f t="shared" si="2"/>
        <v>-58.441551177159681</v>
      </c>
      <c r="G63" s="58">
        <f t="shared" si="3"/>
        <v>-77.02095548085758</v>
      </c>
      <c r="H63" s="58">
        <f t="shared" si="4"/>
        <v>-66.105198984798335</v>
      </c>
      <c r="I63" s="58">
        <f t="shared" si="5"/>
        <v>-72.796646255942974</v>
      </c>
      <c r="J63" s="55">
        <f t="shared" si="6"/>
        <v>-41.999760644712666</v>
      </c>
      <c r="K63" s="64">
        <f t="shared" si="7"/>
        <v>-27.99999492817205</v>
      </c>
      <c r="L63" s="29">
        <f t="shared" si="8"/>
        <v>0</v>
      </c>
      <c r="M63" s="69">
        <f t="shared" si="9"/>
        <v>0</v>
      </c>
    </row>
    <row r="64" spans="1:13" x14ac:dyDescent="0.3">
      <c r="A64" s="12">
        <v>7</v>
      </c>
      <c r="B64" s="13">
        <v>7</v>
      </c>
      <c r="C64" s="13">
        <v>7</v>
      </c>
      <c r="D64" s="58">
        <f t="shared" si="0"/>
        <v>-86.627126446872481</v>
      </c>
      <c r="E64" s="58">
        <f t="shared" si="1"/>
        <v>-27.99999492817205</v>
      </c>
      <c r="F64" s="58">
        <f t="shared" si="2"/>
        <v>-65.441551177159681</v>
      </c>
      <c r="G64" s="58">
        <f t="shared" si="3"/>
        <v>-77.02095548085758</v>
      </c>
      <c r="H64" s="58">
        <f t="shared" si="4"/>
        <v>-73.105198984798335</v>
      </c>
      <c r="I64" s="58">
        <f t="shared" si="5"/>
        <v>-79.796646255942974</v>
      </c>
      <c r="J64" s="55">
        <f t="shared" si="6"/>
        <v>-48.999760644712666</v>
      </c>
      <c r="K64" s="64">
        <f t="shared" si="7"/>
        <v>-27.99999492817205</v>
      </c>
      <c r="L64" s="29">
        <f t="shared" si="8"/>
        <v>0</v>
      </c>
      <c r="M64" s="69">
        <f t="shared" si="9"/>
        <v>0</v>
      </c>
    </row>
    <row r="65" spans="1:13" x14ac:dyDescent="0.3">
      <c r="A65" s="12">
        <v>35</v>
      </c>
      <c r="B65" s="13">
        <v>0</v>
      </c>
      <c r="C65" s="13">
        <v>35</v>
      </c>
      <c r="D65" s="58">
        <f t="shared" si="0"/>
        <v>-58.627126446872481</v>
      </c>
      <c r="E65" s="58">
        <f t="shared" si="1"/>
        <v>-34.99999492817205</v>
      </c>
      <c r="F65" s="58">
        <f t="shared" si="2"/>
        <v>-37.441551177159681</v>
      </c>
      <c r="G65" s="58">
        <f t="shared" si="3"/>
        <v>-56.02095548085758</v>
      </c>
      <c r="H65" s="58">
        <f t="shared" si="4"/>
        <v>-17.105198984798335</v>
      </c>
      <c r="I65" s="58">
        <f t="shared" si="5"/>
        <v>-58.796646255942974</v>
      </c>
      <c r="J65" s="55">
        <f t="shared" si="6"/>
        <v>2.3935528733431966E-4</v>
      </c>
      <c r="K65" s="64">
        <f t="shared" si="7"/>
        <v>2.3935528733431966E-4</v>
      </c>
      <c r="L65" s="29">
        <f t="shared" si="8"/>
        <v>7</v>
      </c>
      <c r="M65" s="69">
        <f t="shared" si="9"/>
        <v>69.999760644712666</v>
      </c>
    </row>
    <row r="66" spans="1:13" x14ac:dyDescent="0.3">
      <c r="A66" s="12">
        <v>175</v>
      </c>
      <c r="B66" s="13">
        <v>210</v>
      </c>
      <c r="C66" s="13">
        <v>0</v>
      </c>
      <c r="D66" s="58">
        <f t="shared" si="0"/>
        <v>81.372873553127519</v>
      </c>
      <c r="E66" s="58">
        <f t="shared" si="1"/>
        <v>175.00000507182796</v>
      </c>
      <c r="F66" s="58">
        <f t="shared" si="2"/>
        <v>-72.441551177159681</v>
      </c>
      <c r="G66" s="58">
        <f t="shared" si="3"/>
        <v>293.97904451914241</v>
      </c>
      <c r="H66" s="58">
        <f t="shared" si="4"/>
        <v>87.894801015201665</v>
      </c>
      <c r="I66" s="58">
        <f t="shared" si="5"/>
        <v>116.20335374405703</v>
      </c>
      <c r="J66" s="55">
        <f t="shared" si="6"/>
        <v>315.00023935528736</v>
      </c>
      <c r="K66" s="64">
        <f t="shared" si="7"/>
        <v>315.00023935528736</v>
      </c>
      <c r="L66" s="29">
        <f t="shared" si="8"/>
        <v>7</v>
      </c>
      <c r="M66" s="69">
        <f t="shared" si="9"/>
        <v>69.999760644712666</v>
      </c>
    </row>
    <row r="67" spans="1:13" x14ac:dyDescent="0.3">
      <c r="A67" s="12">
        <v>14</v>
      </c>
      <c r="B67" s="13">
        <v>0</v>
      </c>
      <c r="C67" s="13">
        <v>0</v>
      </c>
      <c r="D67" s="58">
        <f t="shared" si="0"/>
        <v>-79.627126446872481</v>
      </c>
      <c r="E67" s="58">
        <f t="shared" si="1"/>
        <v>-34.99999492817205</v>
      </c>
      <c r="F67" s="58">
        <f t="shared" si="2"/>
        <v>-72.441551177159681</v>
      </c>
      <c r="G67" s="58">
        <f t="shared" si="3"/>
        <v>-77.02095548085758</v>
      </c>
      <c r="H67" s="58">
        <f t="shared" si="4"/>
        <v>-73.105198984798335</v>
      </c>
      <c r="I67" s="58">
        <f t="shared" si="5"/>
        <v>-93.796646255942974</v>
      </c>
      <c r="J67" s="55">
        <f t="shared" si="6"/>
        <v>-55.999760644712666</v>
      </c>
      <c r="K67" s="64">
        <f t="shared" si="7"/>
        <v>-34.99999492817205</v>
      </c>
      <c r="L67" s="29">
        <f t="shared" si="8"/>
        <v>0</v>
      </c>
      <c r="M67" s="69">
        <f t="shared" si="9"/>
        <v>0</v>
      </c>
    </row>
    <row r="68" spans="1:13" x14ac:dyDescent="0.3">
      <c r="A68" s="12">
        <v>35</v>
      </c>
      <c r="B68" s="13">
        <v>49</v>
      </c>
      <c r="C68" s="13">
        <v>14</v>
      </c>
      <c r="D68" s="58">
        <f t="shared" si="0"/>
        <v>-58.627126446872481</v>
      </c>
      <c r="E68" s="58">
        <f t="shared" si="1"/>
        <v>14.00000507182795</v>
      </c>
      <c r="F68" s="58">
        <f t="shared" si="2"/>
        <v>-58.441551177159681</v>
      </c>
      <c r="G68" s="58">
        <f t="shared" si="3"/>
        <v>-7.0209554808575803</v>
      </c>
      <c r="H68" s="58">
        <f t="shared" si="4"/>
        <v>-38.105198984798335</v>
      </c>
      <c r="I68" s="58">
        <f t="shared" si="5"/>
        <v>-30.796646255942974</v>
      </c>
      <c r="J68" s="55">
        <f t="shared" si="6"/>
        <v>28.000239355287334</v>
      </c>
      <c r="K68" s="64">
        <f t="shared" si="7"/>
        <v>28.000239355287334</v>
      </c>
      <c r="L68" s="29">
        <f t="shared" si="8"/>
        <v>7</v>
      </c>
      <c r="M68" s="69">
        <f t="shared" si="9"/>
        <v>69.999760644712666</v>
      </c>
    </row>
    <row r="69" spans="1:13" x14ac:dyDescent="0.3">
      <c r="A69" s="12">
        <v>10.5</v>
      </c>
      <c r="B69" s="13">
        <v>7</v>
      </c>
      <c r="C69" s="13">
        <v>7</v>
      </c>
      <c r="D69" s="58">
        <f t="shared" si="0"/>
        <v>-83.127126446872481</v>
      </c>
      <c r="E69" s="58">
        <f t="shared" si="1"/>
        <v>-27.99999492817205</v>
      </c>
      <c r="F69" s="58">
        <f t="shared" si="2"/>
        <v>-65.441551177159681</v>
      </c>
      <c r="G69" s="58">
        <f t="shared" si="3"/>
        <v>-73.52095548085758</v>
      </c>
      <c r="H69" s="58">
        <f t="shared" si="4"/>
        <v>-69.605198984798335</v>
      </c>
      <c r="I69" s="58">
        <f t="shared" si="5"/>
        <v>-79.796646255942974</v>
      </c>
      <c r="J69" s="55">
        <f t="shared" si="6"/>
        <v>-45.499760644712666</v>
      </c>
      <c r="K69" s="64">
        <f t="shared" si="7"/>
        <v>-27.99999492817205</v>
      </c>
      <c r="L69" s="29">
        <f t="shared" si="8"/>
        <v>0</v>
      </c>
      <c r="M69" s="69">
        <f t="shared" si="9"/>
        <v>0</v>
      </c>
    </row>
    <row r="70" spans="1:13" x14ac:dyDescent="0.3">
      <c r="A70" s="12">
        <v>7</v>
      </c>
      <c r="B70" s="13">
        <v>14</v>
      </c>
      <c r="C70" s="13">
        <v>3.5</v>
      </c>
      <c r="D70" s="58">
        <f t="shared" si="0"/>
        <v>-86.627126446872481</v>
      </c>
      <c r="E70" s="58">
        <f t="shared" si="1"/>
        <v>-20.99999492817205</v>
      </c>
      <c r="F70" s="58">
        <f t="shared" si="2"/>
        <v>-68.941551177159681</v>
      </c>
      <c r="G70" s="58">
        <f t="shared" si="3"/>
        <v>-70.02095548085758</v>
      </c>
      <c r="H70" s="58">
        <f t="shared" si="4"/>
        <v>-76.605198984798335</v>
      </c>
      <c r="I70" s="58">
        <f t="shared" si="5"/>
        <v>-76.296646255942974</v>
      </c>
      <c r="J70" s="55">
        <f t="shared" si="6"/>
        <v>-45.499760644712666</v>
      </c>
      <c r="K70" s="64">
        <f t="shared" si="7"/>
        <v>-20.99999492817205</v>
      </c>
      <c r="L70" s="29">
        <f t="shared" si="8"/>
        <v>0</v>
      </c>
      <c r="M70" s="69">
        <f t="shared" si="9"/>
        <v>0</v>
      </c>
    </row>
    <row r="71" spans="1:13" x14ac:dyDescent="0.3">
      <c r="A71" s="12">
        <v>175</v>
      </c>
      <c r="B71" s="13">
        <v>350</v>
      </c>
      <c r="C71" s="13">
        <v>70</v>
      </c>
      <c r="D71" s="58">
        <f t="shared" si="0"/>
        <v>81.372873553127519</v>
      </c>
      <c r="E71" s="58">
        <f t="shared" si="1"/>
        <v>315.00000507182796</v>
      </c>
      <c r="F71" s="58">
        <f t="shared" si="2"/>
        <v>-2.4415511771596812</v>
      </c>
      <c r="G71" s="58">
        <f t="shared" si="3"/>
        <v>433.97904451914241</v>
      </c>
      <c r="H71" s="58">
        <f t="shared" si="4"/>
        <v>157.89480101520166</v>
      </c>
      <c r="I71" s="58">
        <f t="shared" si="5"/>
        <v>326.20335374405704</v>
      </c>
      <c r="J71" s="55">
        <f t="shared" si="6"/>
        <v>525.00023935528736</v>
      </c>
      <c r="K71" s="64">
        <f t="shared" si="7"/>
        <v>525.00023935528736</v>
      </c>
      <c r="L71" s="29">
        <f t="shared" si="8"/>
        <v>7</v>
      </c>
      <c r="M71" s="69">
        <f t="shared" si="9"/>
        <v>69.999760644712666</v>
      </c>
    </row>
    <row r="72" spans="1:13" x14ac:dyDescent="0.3">
      <c r="A72" s="12">
        <v>0</v>
      </c>
      <c r="B72" s="13">
        <v>14</v>
      </c>
      <c r="C72" s="13">
        <v>14</v>
      </c>
      <c r="D72" s="58">
        <f t="shared" si="0"/>
        <v>-93.627126446872481</v>
      </c>
      <c r="E72" s="58">
        <f t="shared" si="1"/>
        <v>-20.99999492817205</v>
      </c>
      <c r="F72" s="58">
        <f t="shared" si="2"/>
        <v>-58.441551177159681</v>
      </c>
      <c r="G72" s="58">
        <f t="shared" si="3"/>
        <v>-77.02095548085758</v>
      </c>
      <c r="H72" s="58">
        <f t="shared" si="4"/>
        <v>-73.105198984798335</v>
      </c>
      <c r="I72" s="58">
        <f t="shared" si="5"/>
        <v>-65.796646255942974</v>
      </c>
      <c r="J72" s="55">
        <f t="shared" si="6"/>
        <v>-41.999760644712666</v>
      </c>
      <c r="K72" s="64">
        <f t="shared" si="7"/>
        <v>-20.99999492817205</v>
      </c>
      <c r="L72" s="29">
        <f t="shared" si="8"/>
        <v>0</v>
      </c>
      <c r="M72" s="69">
        <f t="shared" si="9"/>
        <v>0</v>
      </c>
    </row>
    <row r="73" spans="1:13" x14ac:dyDescent="0.3">
      <c r="A73" s="12">
        <v>12.25</v>
      </c>
      <c r="B73" s="13">
        <v>35</v>
      </c>
      <c r="C73" s="13">
        <v>0</v>
      </c>
      <c r="D73" s="58">
        <f t="shared" si="0"/>
        <v>-81.377126446872481</v>
      </c>
      <c r="E73" s="58">
        <f t="shared" si="1"/>
        <v>5.0718279496209107E-6</v>
      </c>
      <c r="F73" s="58">
        <f t="shared" si="2"/>
        <v>-72.441551177159681</v>
      </c>
      <c r="G73" s="58">
        <f t="shared" si="3"/>
        <v>-43.77095548085758</v>
      </c>
      <c r="H73" s="58">
        <f t="shared" si="4"/>
        <v>-74.855198984798335</v>
      </c>
      <c r="I73" s="58">
        <f t="shared" si="5"/>
        <v>-58.796646255942974</v>
      </c>
      <c r="J73" s="55">
        <f t="shared" si="6"/>
        <v>-22.749760644712666</v>
      </c>
      <c r="K73" s="64">
        <f t="shared" si="7"/>
        <v>5.0718279496209107E-6</v>
      </c>
      <c r="L73" s="29">
        <f t="shared" si="8"/>
        <v>2</v>
      </c>
      <c r="M73" s="69">
        <f t="shared" si="9"/>
        <v>34.99999492817205</v>
      </c>
    </row>
    <row r="74" spans="1:13" x14ac:dyDescent="0.3">
      <c r="A74" s="12">
        <v>35</v>
      </c>
      <c r="B74" s="13">
        <v>42</v>
      </c>
      <c r="C74" s="13">
        <v>42</v>
      </c>
      <c r="D74" s="58">
        <f t="shared" ref="D74:D85" si="10">A74-$D$4</f>
        <v>-58.627126446872481</v>
      </c>
      <c r="E74" s="58">
        <f t="shared" ref="E74:E85" si="11">B74-$E$4</f>
        <v>7.0000050718279496</v>
      </c>
      <c r="F74" s="58">
        <f t="shared" ref="F74:F85" si="12">C74-$F$4</f>
        <v>-30.441551177159681</v>
      </c>
      <c r="G74" s="58">
        <f t="shared" ref="G74:G85" si="13">(A74+B74)-$G$4</f>
        <v>-14.02095548085758</v>
      </c>
      <c r="H74" s="58">
        <f t="shared" ref="H74:H85" si="14">(A74+C74)-$H$4</f>
        <v>-10.105198984798335</v>
      </c>
      <c r="I74" s="58">
        <f t="shared" ref="I74:I85" si="15">(B74+C74)-$I$4</f>
        <v>-9.7966462559429743</v>
      </c>
      <c r="J74" s="55">
        <f t="shared" ref="J74:J85" si="16">(A74+B74+C74)-$J$4</f>
        <v>49.000239355287334</v>
      </c>
      <c r="K74" s="64">
        <f t="shared" ref="K74:K85" si="17">MAX(D74:J74)</f>
        <v>49.000239355287334</v>
      </c>
      <c r="L74" s="29">
        <f t="shared" ref="L74:L85" si="18">IF(K74&gt;0,MATCH(K74,D74:J74,0),0)</f>
        <v>7</v>
      </c>
      <c r="M74" s="69">
        <f t="shared" ref="M74:M84" si="19">IF(L74&gt;0,HLOOKUP(L74,$D$2:$J$4,3,FALSE),0)</f>
        <v>69.999760644712666</v>
      </c>
    </row>
    <row r="75" spans="1:13" x14ac:dyDescent="0.3">
      <c r="A75" s="12">
        <v>35</v>
      </c>
      <c r="B75" s="13">
        <v>56</v>
      </c>
      <c r="C75" s="13">
        <v>0</v>
      </c>
      <c r="D75" s="58">
        <f t="shared" si="10"/>
        <v>-58.627126446872481</v>
      </c>
      <c r="E75" s="58">
        <f t="shared" si="11"/>
        <v>21.00000507182795</v>
      </c>
      <c r="F75" s="58">
        <f t="shared" si="12"/>
        <v>-72.441551177159681</v>
      </c>
      <c r="G75" s="58">
        <f t="shared" si="13"/>
        <v>-2.0955480857580255E-2</v>
      </c>
      <c r="H75" s="58">
        <f t="shared" si="14"/>
        <v>-52.105198984798335</v>
      </c>
      <c r="I75" s="58">
        <f t="shared" si="15"/>
        <v>-37.796646255942974</v>
      </c>
      <c r="J75" s="55">
        <f t="shared" si="16"/>
        <v>21.000239355287334</v>
      </c>
      <c r="K75" s="64">
        <f t="shared" si="17"/>
        <v>21.000239355287334</v>
      </c>
      <c r="L75" s="29">
        <f t="shared" si="18"/>
        <v>7</v>
      </c>
      <c r="M75" s="69">
        <f t="shared" si="19"/>
        <v>69.999760644712666</v>
      </c>
    </row>
    <row r="76" spans="1:13" x14ac:dyDescent="0.3">
      <c r="A76" s="12">
        <v>35</v>
      </c>
      <c r="B76" s="13">
        <v>42</v>
      </c>
      <c r="C76" s="13">
        <v>0</v>
      </c>
      <c r="D76" s="58">
        <f t="shared" si="10"/>
        <v>-58.627126446872481</v>
      </c>
      <c r="E76" s="58">
        <f t="shared" si="11"/>
        <v>7.0000050718279496</v>
      </c>
      <c r="F76" s="58">
        <f t="shared" si="12"/>
        <v>-72.441551177159681</v>
      </c>
      <c r="G76" s="58">
        <f t="shared" si="13"/>
        <v>-14.02095548085758</v>
      </c>
      <c r="H76" s="58">
        <f t="shared" si="14"/>
        <v>-52.105198984798335</v>
      </c>
      <c r="I76" s="58">
        <f t="shared" si="15"/>
        <v>-51.796646255942974</v>
      </c>
      <c r="J76" s="55">
        <f t="shared" si="16"/>
        <v>7.0002393552873343</v>
      </c>
      <c r="K76" s="64">
        <f t="shared" si="17"/>
        <v>7.0002393552873343</v>
      </c>
      <c r="L76" s="29">
        <f t="shared" si="18"/>
        <v>7</v>
      </c>
      <c r="M76" s="69">
        <f t="shared" si="19"/>
        <v>69.999760644712666</v>
      </c>
    </row>
    <row r="77" spans="1:13" x14ac:dyDescent="0.3">
      <c r="A77" s="12">
        <v>42</v>
      </c>
      <c r="B77" s="13">
        <v>52.5</v>
      </c>
      <c r="C77" s="13">
        <v>7</v>
      </c>
      <c r="D77" s="58">
        <f t="shared" si="10"/>
        <v>-51.627126446872481</v>
      </c>
      <c r="E77" s="58">
        <f t="shared" si="11"/>
        <v>17.50000507182795</v>
      </c>
      <c r="F77" s="58">
        <f t="shared" si="12"/>
        <v>-65.441551177159681</v>
      </c>
      <c r="G77" s="58">
        <f t="shared" si="13"/>
        <v>3.4790445191424197</v>
      </c>
      <c r="H77" s="58">
        <f t="shared" si="14"/>
        <v>-38.105198984798335</v>
      </c>
      <c r="I77" s="58">
        <f t="shared" si="15"/>
        <v>-34.296646255942974</v>
      </c>
      <c r="J77" s="55">
        <f t="shared" si="16"/>
        <v>31.500239355287334</v>
      </c>
      <c r="K77" s="64">
        <f t="shared" si="17"/>
        <v>31.500239355287334</v>
      </c>
      <c r="L77" s="29">
        <f t="shared" si="18"/>
        <v>7</v>
      </c>
      <c r="M77" s="69">
        <f t="shared" si="19"/>
        <v>69.999760644712666</v>
      </c>
    </row>
    <row r="78" spans="1:13" x14ac:dyDescent="0.3">
      <c r="A78" s="12">
        <v>21</v>
      </c>
      <c r="B78" s="13">
        <v>21</v>
      </c>
      <c r="C78" s="13">
        <v>7</v>
      </c>
      <c r="D78" s="58">
        <f t="shared" si="10"/>
        <v>-72.627126446872481</v>
      </c>
      <c r="E78" s="58">
        <f t="shared" si="11"/>
        <v>-13.99999492817205</v>
      </c>
      <c r="F78" s="58">
        <f t="shared" si="12"/>
        <v>-65.441551177159681</v>
      </c>
      <c r="G78" s="58">
        <f t="shared" si="13"/>
        <v>-49.02095548085758</v>
      </c>
      <c r="H78" s="58">
        <f t="shared" si="14"/>
        <v>-59.105198984798335</v>
      </c>
      <c r="I78" s="58">
        <f t="shared" si="15"/>
        <v>-65.796646255942974</v>
      </c>
      <c r="J78" s="55">
        <f t="shared" si="16"/>
        <v>-20.999760644712666</v>
      </c>
      <c r="K78" s="64">
        <f t="shared" si="17"/>
        <v>-13.99999492817205</v>
      </c>
      <c r="L78" s="29">
        <f t="shared" si="18"/>
        <v>0</v>
      </c>
      <c r="M78" s="69">
        <f t="shared" si="19"/>
        <v>0</v>
      </c>
    </row>
    <row r="79" spans="1:13" x14ac:dyDescent="0.3">
      <c r="A79" s="12">
        <v>27.650000000000002</v>
      </c>
      <c r="B79" s="13">
        <v>48.65</v>
      </c>
      <c r="C79" s="13">
        <v>27.650000000000002</v>
      </c>
      <c r="D79" s="58">
        <f t="shared" si="10"/>
        <v>-65.977126446872475</v>
      </c>
      <c r="E79" s="58">
        <f t="shared" si="11"/>
        <v>13.650005071827948</v>
      </c>
      <c r="F79" s="58">
        <f t="shared" si="12"/>
        <v>-44.791551177159675</v>
      </c>
      <c r="G79" s="58">
        <f t="shared" si="13"/>
        <v>-14.720955480857583</v>
      </c>
      <c r="H79" s="58">
        <f t="shared" si="14"/>
        <v>-31.805198984798331</v>
      </c>
      <c r="I79" s="58">
        <f t="shared" si="15"/>
        <v>-17.496646255942977</v>
      </c>
      <c r="J79" s="55">
        <f t="shared" si="16"/>
        <v>33.950239355287337</v>
      </c>
      <c r="K79" s="64">
        <f t="shared" si="17"/>
        <v>33.950239355287337</v>
      </c>
      <c r="L79" s="29">
        <f t="shared" si="18"/>
        <v>7</v>
      </c>
      <c r="M79" s="69">
        <f t="shared" si="19"/>
        <v>69.999760644712666</v>
      </c>
    </row>
    <row r="80" spans="1:13" x14ac:dyDescent="0.3">
      <c r="A80" s="12">
        <v>0</v>
      </c>
      <c r="B80" s="13">
        <v>56</v>
      </c>
      <c r="C80" s="13">
        <v>35</v>
      </c>
      <c r="D80" s="58">
        <f t="shared" si="10"/>
        <v>-93.627126446872481</v>
      </c>
      <c r="E80" s="58">
        <f t="shared" si="11"/>
        <v>21.00000507182795</v>
      </c>
      <c r="F80" s="58">
        <f t="shared" si="12"/>
        <v>-37.441551177159681</v>
      </c>
      <c r="G80" s="58">
        <f t="shared" si="13"/>
        <v>-35.02095548085758</v>
      </c>
      <c r="H80" s="58">
        <f t="shared" si="14"/>
        <v>-52.105198984798335</v>
      </c>
      <c r="I80" s="58">
        <f t="shared" si="15"/>
        <v>-2.7966462559429743</v>
      </c>
      <c r="J80" s="55">
        <f t="shared" si="16"/>
        <v>21.000239355287334</v>
      </c>
      <c r="K80" s="64">
        <f t="shared" si="17"/>
        <v>21.000239355287334</v>
      </c>
      <c r="L80" s="29">
        <f t="shared" si="18"/>
        <v>7</v>
      </c>
      <c r="M80" s="69">
        <f t="shared" si="19"/>
        <v>69.999760644712666</v>
      </c>
    </row>
    <row r="81" spans="1:13" x14ac:dyDescent="0.3">
      <c r="A81" s="12">
        <v>0</v>
      </c>
      <c r="B81" s="13">
        <v>7</v>
      </c>
      <c r="C81" s="13">
        <v>0</v>
      </c>
      <c r="D81" s="58">
        <f t="shared" si="10"/>
        <v>-93.627126446872481</v>
      </c>
      <c r="E81" s="58">
        <f t="shared" si="11"/>
        <v>-27.99999492817205</v>
      </c>
      <c r="F81" s="58">
        <f t="shared" si="12"/>
        <v>-72.441551177159681</v>
      </c>
      <c r="G81" s="58">
        <f t="shared" si="13"/>
        <v>-84.02095548085758</v>
      </c>
      <c r="H81" s="58">
        <f t="shared" si="14"/>
        <v>-87.105198984798335</v>
      </c>
      <c r="I81" s="58">
        <f t="shared" si="15"/>
        <v>-86.796646255942974</v>
      </c>
      <c r="J81" s="55">
        <f t="shared" si="16"/>
        <v>-62.999760644712666</v>
      </c>
      <c r="K81" s="64">
        <f t="shared" si="17"/>
        <v>-27.99999492817205</v>
      </c>
      <c r="L81" s="29">
        <f t="shared" si="18"/>
        <v>0</v>
      </c>
      <c r="M81" s="69">
        <f t="shared" si="19"/>
        <v>0</v>
      </c>
    </row>
    <row r="82" spans="1:13" x14ac:dyDescent="0.3">
      <c r="A82" s="12">
        <v>35</v>
      </c>
      <c r="B82" s="13">
        <v>35</v>
      </c>
      <c r="C82" s="13">
        <v>56</v>
      </c>
      <c r="D82" s="58">
        <f t="shared" si="10"/>
        <v>-58.627126446872481</v>
      </c>
      <c r="E82" s="58">
        <f t="shared" si="11"/>
        <v>5.0718279496209107E-6</v>
      </c>
      <c r="F82" s="58">
        <f t="shared" si="12"/>
        <v>-16.441551177159681</v>
      </c>
      <c r="G82" s="58">
        <f t="shared" si="13"/>
        <v>-21.02095548085758</v>
      </c>
      <c r="H82" s="58">
        <f t="shared" si="14"/>
        <v>3.894801015201665</v>
      </c>
      <c r="I82" s="58">
        <f t="shared" si="15"/>
        <v>-2.7966462559429743</v>
      </c>
      <c r="J82" s="55">
        <f t="shared" si="16"/>
        <v>56.000239355287334</v>
      </c>
      <c r="K82" s="64">
        <f t="shared" si="17"/>
        <v>56.000239355287334</v>
      </c>
      <c r="L82" s="29">
        <f t="shared" si="18"/>
        <v>7</v>
      </c>
      <c r="M82" s="69">
        <f t="shared" si="19"/>
        <v>69.999760644712666</v>
      </c>
    </row>
    <row r="83" spans="1:13" x14ac:dyDescent="0.3">
      <c r="A83" s="12">
        <v>21</v>
      </c>
      <c r="B83" s="13">
        <v>28</v>
      </c>
      <c r="C83" s="13">
        <v>28</v>
      </c>
      <c r="D83" s="58">
        <f t="shared" si="10"/>
        <v>-72.627126446872481</v>
      </c>
      <c r="E83" s="58">
        <f t="shared" si="11"/>
        <v>-6.9999949281720504</v>
      </c>
      <c r="F83" s="58">
        <f t="shared" si="12"/>
        <v>-44.441551177159681</v>
      </c>
      <c r="G83" s="58">
        <f t="shared" si="13"/>
        <v>-42.02095548085758</v>
      </c>
      <c r="H83" s="58">
        <f t="shared" si="14"/>
        <v>-38.105198984798335</v>
      </c>
      <c r="I83" s="58">
        <f t="shared" si="15"/>
        <v>-37.796646255942974</v>
      </c>
      <c r="J83" s="55">
        <f t="shared" si="16"/>
        <v>7.0002393552873343</v>
      </c>
      <c r="K83" s="64">
        <f t="shared" si="17"/>
        <v>7.0002393552873343</v>
      </c>
      <c r="L83" s="29">
        <f t="shared" si="18"/>
        <v>7</v>
      </c>
      <c r="M83" s="69">
        <f t="shared" si="19"/>
        <v>69.999760644712666</v>
      </c>
    </row>
    <row r="84" spans="1:13" x14ac:dyDescent="0.3">
      <c r="A84" s="12">
        <v>0</v>
      </c>
      <c r="B84" s="13">
        <v>42</v>
      </c>
      <c r="C84" s="13">
        <v>7</v>
      </c>
      <c r="D84" s="58">
        <f t="shared" si="10"/>
        <v>-93.627126446872481</v>
      </c>
      <c r="E84" s="58">
        <f t="shared" si="11"/>
        <v>7.0000050718279496</v>
      </c>
      <c r="F84" s="58">
        <f t="shared" si="12"/>
        <v>-65.441551177159681</v>
      </c>
      <c r="G84" s="58">
        <f t="shared" si="13"/>
        <v>-49.02095548085758</v>
      </c>
      <c r="H84" s="58">
        <f t="shared" si="14"/>
        <v>-80.105198984798335</v>
      </c>
      <c r="I84" s="58">
        <f t="shared" si="15"/>
        <v>-44.796646255942974</v>
      </c>
      <c r="J84" s="55">
        <f t="shared" si="16"/>
        <v>-20.999760644712666</v>
      </c>
      <c r="K84" s="64">
        <f t="shared" si="17"/>
        <v>7.0000050718279496</v>
      </c>
      <c r="L84" s="29">
        <f t="shared" si="18"/>
        <v>2</v>
      </c>
      <c r="M84" s="69">
        <f t="shared" si="19"/>
        <v>34.99999492817205</v>
      </c>
    </row>
    <row r="85" spans="1:13" x14ac:dyDescent="0.3">
      <c r="A85" s="14">
        <v>35</v>
      </c>
      <c r="B85" s="15">
        <v>35</v>
      </c>
      <c r="C85" s="15">
        <v>1.75</v>
      </c>
      <c r="D85" s="59">
        <f t="shared" si="10"/>
        <v>-58.627126446872481</v>
      </c>
      <c r="E85" s="59">
        <f t="shared" si="11"/>
        <v>5.0718279496209107E-6</v>
      </c>
      <c r="F85" s="59">
        <f t="shared" si="12"/>
        <v>-70.691551177159681</v>
      </c>
      <c r="G85" s="59">
        <f t="shared" si="13"/>
        <v>-21.02095548085758</v>
      </c>
      <c r="H85" s="59">
        <f t="shared" si="14"/>
        <v>-50.355198984798335</v>
      </c>
      <c r="I85" s="59">
        <f t="shared" si="15"/>
        <v>-57.046646255942974</v>
      </c>
      <c r="J85" s="56">
        <f t="shared" si="16"/>
        <v>1.7502393552873343</v>
      </c>
      <c r="K85" s="65">
        <f t="shared" si="17"/>
        <v>1.7502393552873343</v>
      </c>
      <c r="L85" s="30">
        <f t="shared" si="18"/>
        <v>7</v>
      </c>
      <c r="M85" s="70">
        <f>IF(L85&gt;0,HLOOKUP(L85,$D$2:$J$4,3,FALSE),0)</f>
        <v>69.999760644712666</v>
      </c>
    </row>
  </sheetData>
  <mergeCells count="4">
    <mergeCell ref="A1:H1"/>
    <mergeCell ref="A5:C5"/>
    <mergeCell ref="A7:C7"/>
    <mergeCell ref="D7:J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5"/>
  <sheetViews>
    <sheetView tabSelected="1" zoomScale="90" zoomScaleNormal="90" workbookViewId="0">
      <selection activeCell="L3" sqref="L3"/>
    </sheetView>
  </sheetViews>
  <sheetFormatPr defaultRowHeight="14.4" x14ac:dyDescent="0.3"/>
  <cols>
    <col min="1" max="1" width="7.77734375" style="3" bestFit="1" customWidth="1"/>
    <col min="2" max="2" width="6.5546875" style="3" bestFit="1" customWidth="1"/>
    <col min="3" max="3" width="10.44140625" style="3" bestFit="1" customWidth="1"/>
    <col min="4" max="7" width="11.5546875" style="8" bestFit="1" customWidth="1"/>
    <col min="8" max="8" width="18.33203125" style="8" bestFit="1" customWidth="1"/>
    <col min="9" max="9" width="14.33203125" style="8" bestFit="1" customWidth="1"/>
    <col min="10" max="10" width="11.5546875" style="8" bestFit="1" customWidth="1"/>
    <col min="11" max="11" width="22.33203125" bestFit="1" customWidth="1"/>
    <col min="12" max="12" width="14.21875" bestFit="1" customWidth="1"/>
    <col min="13" max="13" width="8.33203125" bestFit="1" customWidth="1"/>
    <col min="15" max="15" width="18.33203125" bestFit="1" customWidth="1"/>
    <col min="16" max="16" width="9.5546875" bestFit="1" customWidth="1"/>
    <col min="17" max="17" width="12.77734375" bestFit="1" customWidth="1"/>
  </cols>
  <sheetData>
    <row r="1" spans="1:17" s="1" customFormat="1" x14ac:dyDescent="0.3">
      <c r="A1" s="74" t="s">
        <v>0</v>
      </c>
      <c r="B1" s="74"/>
      <c r="C1" s="74"/>
      <c r="D1" s="74"/>
      <c r="E1" s="74"/>
      <c r="F1" s="74"/>
      <c r="G1" s="74"/>
      <c r="H1" s="74"/>
      <c r="I1" s="6"/>
      <c r="J1" s="6"/>
      <c r="L1" s="42">
        <v>1914</v>
      </c>
    </row>
    <row r="2" spans="1:17" s="3" customFormat="1" x14ac:dyDescent="0.3">
      <c r="C2" s="2" t="s">
        <v>1</v>
      </c>
      <c r="D2" s="7">
        <v>1</v>
      </c>
      <c r="E2" s="7">
        <v>2</v>
      </c>
      <c r="F2" s="7">
        <v>3</v>
      </c>
      <c r="G2" s="7">
        <v>4</v>
      </c>
      <c r="H2" s="7">
        <v>5</v>
      </c>
      <c r="I2" s="7">
        <v>6</v>
      </c>
      <c r="J2" s="7">
        <v>7</v>
      </c>
      <c r="L2" s="34" t="s">
        <v>17</v>
      </c>
    </row>
    <row r="3" spans="1:17" s="3" customFormat="1" x14ac:dyDescent="0.3">
      <c r="C3" s="2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L3" s="47">
        <f>SUM(M9:M85)-Q21*500</f>
        <v>3312</v>
      </c>
    </row>
    <row r="4" spans="1:17" s="3" customFormat="1" x14ac:dyDescent="0.3">
      <c r="C4" s="51" t="s">
        <v>11</v>
      </c>
      <c r="D4" s="52">
        <v>39</v>
      </c>
      <c r="E4" s="52">
        <v>34</v>
      </c>
      <c r="F4" s="52">
        <v>38</v>
      </c>
      <c r="G4" s="52">
        <v>68</v>
      </c>
      <c r="H4" s="52">
        <v>69</v>
      </c>
      <c r="I4" s="52">
        <v>68</v>
      </c>
      <c r="J4" s="52">
        <v>76</v>
      </c>
    </row>
    <row r="5" spans="1:17" s="32" customFormat="1" x14ac:dyDescent="0.3">
      <c r="A5" s="75" t="s">
        <v>10</v>
      </c>
      <c r="B5" s="75"/>
      <c r="C5" s="76"/>
      <c r="D5" s="33"/>
      <c r="E5" s="33"/>
      <c r="F5" s="33"/>
      <c r="G5" s="33"/>
      <c r="H5" s="33"/>
      <c r="I5" s="33"/>
      <c r="J5" s="33"/>
    </row>
    <row r="6" spans="1:17" s="5" customFormat="1" x14ac:dyDescent="0.3">
      <c r="D6" s="43">
        <v>10</v>
      </c>
      <c r="E6" s="43">
        <v>12</v>
      </c>
      <c r="F6" s="43">
        <v>14</v>
      </c>
      <c r="G6" s="43">
        <v>25</v>
      </c>
      <c r="H6" s="43">
        <v>36</v>
      </c>
      <c r="I6" s="43">
        <v>28</v>
      </c>
      <c r="J6" s="43">
        <v>50</v>
      </c>
    </row>
    <row r="7" spans="1:17" ht="13.8" customHeight="1" x14ac:dyDescent="0.3">
      <c r="A7" s="77" t="s">
        <v>12</v>
      </c>
      <c r="B7" s="77"/>
      <c r="C7" s="77"/>
      <c r="D7" s="78" t="s">
        <v>13</v>
      </c>
      <c r="E7" s="78"/>
      <c r="F7" s="78"/>
      <c r="G7" s="78"/>
      <c r="H7" s="78"/>
      <c r="I7" s="78"/>
      <c r="J7" s="78"/>
    </row>
    <row r="8" spans="1:17" s="3" customFormat="1" x14ac:dyDescent="0.3">
      <c r="A8" s="9" t="s">
        <v>3</v>
      </c>
      <c r="B8" s="9" t="s">
        <v>4</v>
      </c>
      <c r="C8" s="9" t="s">
        <v>5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6" t="s">
        <v>8</v>
      </c>
      <c r="J8" s="16" t="s">
        <v>9</v>
      </c>
      <c r="K8" s="23" t="s">
        <v>14</v>
      </c>
      <c r="L8" s="27" t="s">
        <v>15</v>
      </c>
      <c r="M8" s="31" t="s">
        <v>16</v>
      </c>
      <c r="O8" s="34" t="s">
        <v>18</v>
      </c>
      <c r="P8" s="34" t="s">
        <v>19</v>
      </c>
      <c r="Q8" s="34" t="s">
        <v>32</v>
      </c>
    </row>
    <row r="9" spans="1:17" x14ac:dyDescent="0.3">
      <c r="A9" s="10">
        <v>3.5</v>
      </c>
      <c r="B9" s="11">
        <v>7</v>
      </c>
      <c r="C9" s="11">
        <v>3.5</v>
      </c>
      <c r="D9" s="17">
        <f>A9-$D$4</f>
        <v>-35.5</v>
      </c>
      <c r="E9" s="17">
        <f>B9-$E$4</f>
        <v>-27</v>
      </c>
      <c r="F9" s="17">
        <f>C9-$F$4</f>
        <v>-34.5</v>
      </c>
      <c r="G9" s="17">
        <f>(A9+B9)-$G$4</f>
        <v>-57.5</v>
      </c>
      <c r="H9" s="17">
        <f>(A9+C9)-$H$4</f>
        <v>-62</v>
      </c>
      <c r="I9" s="17">
        <f>(B9+C9)-$I$4</f>
        <v>-57.5</v>
      </c>
      <c r="J9" s="18">
        <f>(A9+B9+C9)-$J$4</f>
        <v>-62</v>
      </c>
      <c r="K9" s="24">
        <f>MAX(D9:J9)</f>
        <v>-27</v>
      </c>
      <c r="L9" s="28">
        <f>IF(K9&gt;0,MATCH(K9,D9:J9,0),0)</f>
        <v>0</v>
      </c>
      <c r="M9" s="44">
        <f>IF(L9&gt;0,HLOOKUP(L9,$D$2:$J$4,3,FALSE),0)</f>
        <v>0</v>
      </c>
      <c r="O9" s="35" t="s">
        <v>20</v>
      </c>
      <c r="P9" s="48">
        <f>D4-G4</f>
        <v>-29</v>
      </c>
      <c r="Q9" s="35">
        <f>IF(P9&gt;0,P9,0)</f>
        <v>0</v>
      </c>
    </row>
    <row r="10" spans="1:17" x14ac:dyDescent="0.3">
      <c r="A10" s="12">
        <v>17.5</v>
      </c>
      <c r="B10" s="13">
        <v>35</v>
      </c>
      <c r="C10" s="13">
        <v>3.5</v>
      </c>
      <c r="D10" s="19">
        <f t="shared" ref="D10:D73" si="0">A10-$D$4</f>
        <v>-21.5</v>
      </c>
      <c r="E10" s="19">
        <f t="shared" ref="E10:E73" si="1">B10-$E$4</f>
        <v>1</v>
      </c>
      <c r="F10" s="19">
        <f t="shared" ref="F10:F73" si="2">C10-$F$4</f>
        <v>-34.5</v>
      </c>
      <c r="G10" s="19">
        <f t="shared" ref="G10:G73" si="3">(A10+B10)-$G$4</f>
        <v>-15.5</v>
      </c>
      <c r="H10" s="19">
        <f t="shared" ref="H10:H73" si="4">(A10+C10)-$H$4</f>
        <v>-48</v>
      </c>
      <c r="I10" s="19">
        <f t="shared" ref="I10:I73" si="5">(B10+C10)-$I$4</f>
        <v>-29.5</v>
      </c>
      <c r="J10" s="20">
        <f t="shared" ref="J10:J73" si="6">(A10+B10+C10)-$J$4</f>
        <v>-20</v>
      </c>
      <c r="K10" s="25">
        <f t="shared" ref="K10:K73" si="7">MAX(D10:J10)</f>
        <v>1</v>
      </c>
      <c r="L10" s="29">
        <f t="shared" ref="L10:L73" si="8">IF(K10&gt;0,MATCH(K10,D10:J10,0),0)</f>
        <v>2</v>
      </c>
      <c r="M10" s="45">
        <f t="shared" ref="M10:M73" si="9">IF(L10&gt;0,HLOOKUP(L10,$D$2:$J$4,3,FALSE),0)</f>
        <v>34</v>
      </c>
      <c r="O10" s="36" t="s">
        <v>21</v>
      </c>
      <c r="P10" s="49">
        <f>D4-H4</f>
        <v>-30</v>
      </c>
      <c r="Q10" s="36">
        <f t="shared" ref="Q10:Q20" si="10">IF(P10&gt;0,P10,0)</f>
        <v>0</v>
      </c>
    </row>
    <row r="11" spans="1:17" x14ac:dyDescent="0.3">
      <c r="A11" s="12">
        <v>28</v>
      </c>
      <c r="B11" s="13">
        <v>28</v>
      </c>
      <c r="C11" s="13">
        <v>49</v>
      </c>
      <c r="D11" s="19">
        <f t="shared" si="0"/>
        <v>-11</v>
      </c>
      <c r="E11" s="19">
        <f t="shared" si="1"/>
        <v>-6</v>
      </c>
      <c r="F11" s="19">
        <f t="shared" si="2"/>
        <v>11</v>
      </c>
      <c r="G11" s="19">
        <f t="shared" si="3"/>
        <v>-12</v>
      </c>
      <c r="H11" s="19">
        <f t="shared" si="4"/>
        <v>8</v>
      </c>
      <c r="I11" s="19">
        <f t="shared" si="5"/>
        <v>9</v>
      </c>
      <c r="J11" s="20">
        <f t="shared" si="6"/>
        <v>29</v>
      </c>
      <c r="K11" s="25">
        <f t="shared" si="7"/>
        <v>29</v>
      </c>
      <c r="L11" s="29">
        <f t="shared" si="8"/>
        <v>7</v>
      </c>
      <c r="M11" s="45">
        <f t="shared" si="9"/>
        <v>76</v>
      </c>
      <c r="O11" s="36" t="s">
        <v>22</v>
      </c>
      <c r="P11" s="49">
        <f>D4-J4</f>
        <v>-37</v>
      </c>
      <c r="Q11" s="36">
        <f t="shared" si="10"/>
        <v>0</v>
      </c>
    </row>
    <row r="12" spans="1:17" x14ac:dyDescent="0.3">
      <c r="A12" s="12">
        <v>70</v>
      </c>
      <c r="B12" s="13">
        <v>70</v>
      </c>
      <c r="C12" s="13">
        <v>0</v>
      </c>
      <c r="D12" s="19">
        <f t="shared" si="0"/>
        <v>31</v>
      </c>
      <c r="E12" s="19">
        <f t="shared" si="1"/>
        <v>36</v>
      </c>
      <c r="F12" s="19">
        <f t="shared" si="2"/>
        <v>-38</v>
      </c>
      <c r="G12" s="19">
        <f t="shared" si="3"/>
        <v>72</v>
      </c>
      <c r="H12" s="19">
        <f t="shared" si="4"/>
        <v>1</v>
      </c>
      <c r="I12" s="19">
        <f t="shared" si="5"/>
        <v>2</v>
      </c>
      <c r="J12" s="20">
        <f t="shared" si="6"/>
        <v>64</v>
      </c>
      <c r="K12" s="25">
        <f t="shared" si="7"/>
        <v>72</v>
      </c>
      <c r="L12" s="29">
        <f t="shared" si="8"/>
        <v>4</v>
      </c>
      <c r="M12" s="45">
        <f t="shared" si="9"/>
        <v>68</v>
      </c>
      <c r="O12" s="36" t="s">
        <v>23</v>
      </c>
      <c r="P12" s="49">
        <f>D4-G4</f>
        <v>-29</v>
      </c>
      <c r="Q12" s="36">
        <f t="shared" si="10"/>
        <v>0</v>
      </c>
    </row>
    <row r="13" spans="1:17" x14ac:dyDescent="0.3">
      <c r="A13" s="12">
        <v>0</v>
      </c>
      <c r="B13" s="13">
        <v>7</v>
      </c>
      <c r="C13" s="13">
        <v>14</v>
      </c>
      <c r="D13" s="19">
        <f t="shared" si="0"/>
        <v>-39</v>
      </c>
      <c r="E13" s="19">
        <f t="shared" si="1"/>
        <v>-27</v>
      </c>
      <c r="F13" s="19">
        <f t="shared" si="2"/>
        <v>-24</v>
      </c>
      <c r="G13" s="19">
        <f t="shared" si="3"/>
        <v>-61</v>
      </c>
      <c r="H13" s="19">
        <f t="shared" si="4"/>
        <v>-55</v>
      </c>
      <c r="I13" s="19">
        <f t="shared" si="5"/>
        <v>-47</v>
      </c>
      <c r="J13" s="20">
        <f t="shared" si="6"/>
        <v>-55</v>
      </c>
      <c r="K13" s="25">
        <f t="shared" si="7"/>
        <v>-24</v>
      </c>
      <c r="L13" s="29">
        <f t="shared" si="8"/>
        <v>0</v>
      </c>
      <c r="M13" s="45">
        <f t="shared" si="9"/>
        <v>0</v>
      </c>
      <c r="O13" s="36" t="s">
        <v>24</v>
      </c>
      <c r="P13" s="49">
        <f>E4-I4</f>
        <v>-34</v>
      </c>
      <c r="Q13" s="36">
        <f t="shared" si="10"/>
        <v>0</v>
      </c>
    </row>
    <row r="14" spans="1:17" x14ac:dyDescent="0.3">
      <c r="A14" s="12">
        <v>0</v>
      </c>
      <c r="B14" s="13">
        <v>70</v>
      </c>
      <c r="C14" s="13">
        <v>0</v>
      </c>
      <c r="D14" s="19">
        <f t="shared" si="0"/>
        <v>-39</v>
      </c>
      <c r="E14" s="19">
        <f t="shared" si="1"/>
        <v>36</v>
      </c>
      <c r="F14" s="19">
        <f t="shared" si="2"/>
        <v>-38</v>
      </c>
      <c r="G14" s="19">
        <f t="shared" si="3"/>
        <v>2</v>
      </c>
      <c r="H14" s="19">
        <f t="shared" si="4"/>
        <v>-69</v>
      </c>
      <c r="I14" s="19">
        <f t="shared" si="5"/>
        <v>2</v>
      </c>
      <c r="J14" s="20">
        <f t="shared" si="6"/>
        <v>-6</v>
      </c>
      <c r="K14" s="25">
        <f t="shared" si="7"/>
        <v>36</v>
      </c>
      <c r="L14" s="29">
        <f t="shared" si="8"/>
        <v>2</v>
      </c>
      <c r="M14" s="45">
        <f t="shared" si="9"/>
        <v>34</v>
      </c>
      <c r="O14" s="36" t="s">
        <v>25</v>
      </c>
      <c r="P14" s="49">
        <f>E4-J4</f>
        <v>-42</v>
      </c>
      <c r="Q14" s="36">
        <f t="shared" si="10"/>
        <v>0</v>
      </c>
    </row>
    <row r="15" spans="1:17" x14ac:dyDescent="0.3">
      <c r="A15" s="12">
        <v>21</v>
      </c>
      <c r="B15" s="13">
        <v>35</v>
      </c>
      <c r="C15" s="13">
        <v>10.5</v>
      </c>
      <c r="D15" s="19">
        <f t="shared" si="0"/>
        <v>-18</v>
      </c>
      <c r="E15" s="19">
        <f t="shared" si="1"/>
        <v>1</v>
      </c>
      <c r="F15" s="19">
        <f t="shared" si="2"/>
        <v>-27.5</v>
      </c>
      <c r="G15" s="19">
        <f t="shared" si="3"/>
        <v>-12</v>
      </c>
      <c r="H15" s="19">
        <f t="shared" si="4"/>
        <v>-37.5</v>
      </c>
      <c r="I15" s="19">
        <f t="shared" si="5"/>
        <v>-22.5</v>
      </c>
      <c r="J15" s="20">
        <f t="shared" si="6"/>
        <v>-9.5</v>
      </c>
      <c r="K15" s="25">
        <f t="shared" si="7"/>
        <v>1</v>
      </c>
      <c r="L15" s="29">
        <f t="shared" si="8"/>
        <v>2</v>
      </c>
      <c r="M15" s="45">
        <f t="shared" si="9"/>
        <v>34</v>
      </c>
      <c r="O15" s="36" t="s">
        <v>26</v>
      </c>
      <c r="P15" s="49">
        <f>F4-I4</f>
        <v>-30</v>
      </c>
      <c r="Q15" s="36">
        <f t="shared" si="10"/>
        <v>0</v>
      </c>
    </row>
    <row r="16" spans="1:17" x14ac:dyDescent="0.3">
      <c r="A16" s="12">
        <v>7</v>
      </c>
      <c r="B16" s="13">
        <v>21</v>
      </c>
      <c r="C16" s="13">
        <v>0</v>
      </c>
      <c r="D16" s="19">
        <f t="shared" si="0"/>
        <v>-32</v>
      </c>
      <c r="E16" s="19">
        <f t="shared" si="1"/>
        <v>-13</v>
      </c>
      <c r="F16" s="19">
        <f t="shared" si="2"/>
        <v>-38</v>
      </c>
      <c r="G16" s="19">
        <f t="shared" si="3"/>
        <v>-40</v>
      </c>
      <c r="H16" s="19">
        <f t="shared" si="4"/>
        <v>-62</v>
      </c>
      <c r="I16" s="19">
        <f t="shared" si="5"/>
        <v>-47</v>
      </c>
      <c r="J16" s="20">
        <f t="shared" si="6"/>
        <v>-48</v>
      </c>
      <c r="K16" s="25">
        <f t="shared" si="7"/>
        <v>-13</v>
      </c>
      <c r="L16" s="29">
        <f t="shared" si="8"/>
        <v>0</v>
      </c>
      <c r="M16" s="45">
        <f t="shared" si="9"/>
        <v>0</v>
      </c>
      <c r="O16" s="36" t="s">
        <v>27</v>
      </c>
      <c r="P16" s="49">
        <f>F4-H4</f>
        <v>-31</v>
      </c>
      <c r="Q16" s="36">
        <f t="shared" si="10"/>
        <v>0</v>
      </c>
    </row>
    <row r="17" spans="1:17" x14ac:dyDescent="0.3">
      <c r="A17" s="12">
        <v>5.25</v>
      </c>
      <c r="B17" s="13">
        <v>7</v>
      </c>
      <c r="C17" s="13">
        <v>2.1</v>
      </c>
      <c r="D17" s="19">
        <f t="shared" si="0"/>
        <v>-33.75</v>
      </c>
      <c r="E17" s="19">
        <f t="shared" si="1"/>
        <v>-27</v>
      </c>
      <c r="F17" s="19">
        <f t="shared" si="2"/>
        <v>-35.9</v>
      </c>
      <c r="G17" s="19">
        <f t="shared" si="3"/>
        <v>-55.75</v>
      </c>
      <c r="H17" s="19">
        <f t="shared" si="4"/>
        <v>-61.65</v>
      </c>
      <c r="I17" s="19">
        <f t="shared" si="5"/>
        <v>-58.9</v>
      </c>
      <c r="J17" s="20">
        <f t="shared" si="6"/>
        <v>-61.65</v>
      </c>
      <c r="K17" s="25">
        <f t="shared" si="7"/>
        <v>-27</v>
      </c>
      <c r="L17" s="29">
        <f t="shared" si="8"/>
        <v>0</v>
      </c>
      <c r="M17" s="45">
        <f t="shared" si="9"/>
        <v>0</v>
      </c>
      <c r="O17" s="36" t="s">
        <v>28</v>
      </c>
      <c r="P17" s="49">
        <f>F4-J4</f>
        <v>-38</v>
      </c>
      <c r="Q17" s="36">
        <f t="shared" si="10"/>
        <v>0</v>
      </c>
    </row>
    <row r="18" spans="1:17" x14ac:dyDescent="0.3">
      <c r="A18" s="12">
        <v>21</v>
      </c>
      <c r="B18" s="13">
        <v>28</v>
      </c>
      <c r="C18" s="13">
        <v>28</v>
      </c>
      <c r="D18" s="19">
        <f t="shared" si="0"/>
        <v>-18</v>
      </c>
      <c r="E18" s="19">
        <f t="shared" si="1"/>
        <v>-6</v>
      </c>
      <c r="F18" s="19">
        <f t="shared" si="2"/>
        <v>-10</v>
      </c>
      <c r="G18" s="19">
        <f t="shared" si="3"/>
        <v>-19</v>
      </c>
      <c r="H18" s="19">
        <f t="shared" si="4"/>
        <v>-20</v>
      </c>
      <c r="I18" s="19">
        <f t="shared" si="5"/>
        <v>-12</v>
      </c>
      <c r="J18" s="20">
        <f t="shared" si="6"/>
        <v>1</v>
      </c>
      <c r="K18" s="25">
        <f t="shared" si="7"/>
        <v>1</v>
      </c>
      <c r="L18" s="29">
        <f t="shared" si="8"/>
        <v>7</v>
      </c>
      <c r="M18" s="45">
        <f t="shared" si="9"/>
        <v>76</v>
      </c>
      <c r="O18" s="37" t="s">
        <v>29</v>
      </c>
      <c r="P18" s="49">
        <f>G4-J4</f>
        <v>-8</v>
      </c>
      <c r="Q18" s="36">
        <f t="shared" si="10"/>
        <v>0</v>
      </c>
    </row>
    <row r="19" spans="1:17" x14ac:dyDescent="0.3">
      <c r="A19" s="12">
        <v>35</v>
      </c>
      <c r="B19" s="13">
        <v>49</v>
      </c>
      <c r="C19" s="13">
        <v>21</v>
      </c>
      <c r="D19" s="19">
        <f t="shared" si="0"/>
        <v>-4</v>
      </c>
      <c r="E19" s="19">
        <f t="shared" si="1"/>
        <v>15</v>
      </c>
      <c r="F19" s="19">
        <f t="shared" si="2"/>
        <v>-17</v>
      </c>
      <c r="G19" s="19">
        <f t="shared" si="3"/>
        <v>16</v>
      </c>
      <c r="H19" s="19">
        <f t="shared" si="4"/>
        <v>-13</v>
      </c>
      <c r="I19" s="19">
        <f t="shared" si="5"/>
        <v>2</v>
      </c>
      <c r="J19" s="20">
        <f t="shared" si="6"/>
        <v>29</v>
      </c>
      <c r="K19" s="25">
        <f t="shared" si="7"/>
        <v>29</v>
      </c>
      <c r="L19" s="29">
        <f t="shared" si="8"/>
        <v>7</v>
      </c>
      <c r="M19" s="45">
        <f t="shared" si="9"/>
        <v>76</v>
      </c>
      <c r="O19" s="37" t="s">
        <v>30</v>
      </c>
      <c r="P19" s="49">
        <f>H4-J4</f>
        <v>-7</v>
      </c>
      <c r="Q19" s="36">
        <f t="shared" si="10"/>
        <v>0</v>
      </c>
    </row>
    <row r="20" spans="1:17" x14ac:dyDescent="0.3">
      <c r="A20" s="12">
        <v>21</v>
      </c>
      <c r="B20" s="13">
        <v>21</v>
      </c>
      <c r="C20" s="13">
        <v>21</v>
      </c>
      <c r="D20" s="19">
        <f t="shared" si="0"/>
        <v>-18</v>
      </c>
      <c r="E20" s="19">
        <f t="shared" si="1"/>
        <v>-13</v>
      </c>
      <c r="F20" s="19">
        <f t="shared" si="2"/>
        <v>-17</v>
      </c>
      <c r="G20" s="19">
        <f t="shared" si="3"/>
        <v>-26</v>
      </c>
      <c r="H20" s="19">
        <f t="shared" si="4"/>
        <v>-27</v>
      </c>
      <c r="I20" s="19">
        <f t="shared" si="5"/>
        <v>-26</v>
      </c>
      <c r="J20" s="20">
        <f t="shared" si="6"/>
        <v>-13</v>
      </c>
      <c r="K20" s="25">
        <f t="shared" si="7"/>
        <v>-13</v>
      </c>
      <c r="L20" s="29">
        <f t="shared" si="8"/>
        <v>0</v>
      </c>
      <c r="M20" s="45">
        <f t="shared" si="9"/>
        <v>0</v>
      </c>
      <c r="O20" s="38" t="s">
        <v>31</v>
      </c>
      <c r="P20" s="50">
        <f>I4-J4</f>
        <v>-8</v>
      </c>
      <c r="Q20" s="39">
        <f t="shared" si="10"/>
        <v>0</v>
      </c>
    </row>
    <row r="21" spans="1:17" x14ac:dyDescent="0.3">
      <c r="A21" s="12">
        <v>14</v>
      </c>
      <c r="B21" s="13">
        <v>35</v>
      </c>
      <c r="C21" s="13">
        <v>21</v>
      </c>
      <c r="D21" s="19">
        <f t="shared" si="0"/>
        <v>-25</v>
      </c>
      <c r="E21" s="19">
        <f t="shared" si="1"/>
        <v>1</v>
      </c>
      <c r="F21" s="19">
        <f t="shared" si="2"/>
        <v>-17</v>
      </c>
      <c r="G21" s="19">
        <f t="shared" si="3"/>
        <v>-19</v>
      </c>
      <c r="H21" s="19">
        <f t="shared" si="4"/>
        <v>-34</v>
      </c>
      <c r="I21" s="19">
        <f t="shared" si="5"/>
        <v>-12</v>
      </c>
      <c r="J21" s="20">
        <f t="shared" si="6"/>
        <v>-6</v>
      </c>
      <c r="K21" s="25">
        <f t="shared" si="7"/>
        <v>1</v>
      </c>
      <c r="L21" s="29">
        <f t="shared" si="8"/>
        <v>2</v>
      </c>
      <c r="M21" s="45">
        <f t="shared" si="9"/>
        <v>34</v>
      </c>
      <c r="P21" s="41" t="s">
        <v>33</v>
      </c>
      <c r="Q21" s="40">
        <f>SUM(Q9:Q20)</f>
        <v>0</v>
      </c>
    </row>
    <row r="22" spans="1:17" x14ac:dyDescent="0.3">
      <c r="A22" s="12">
        <v>14</v>
      </c>
      <c r="B22" s="13">
        <v>35</v>
      </c>
      <c r="C22" s="13">
        <v>14</v>
      </c>
      <c r="D22" s="19">
        <f t="shared" si="0"/>
        <v>-25</v>
      </c>
      <c r="E22" s="19">
        <f t="shared" si="1"/>
        <v>1</v>
      </c>
      <c r="F22" s="19">
        <f t="shared" si="2"/>
        <v>-24</v>
      </c>
      <c r="G22" s="19">
        <f t="shared" si="3"/>
        <v>-19</v>
      </c>
      <c r="H22" s="19">
        <f t="shared" si="4"/>
        <v>-41</v>
      </c>
      <c r="I22" s="19">
        <f t="shared" si="5"/>
        <v>-19</v>
      </c>
      <c r="J22" s="20">
        <f t="shared" si="6"/>
        <v>-13</v>
      </c>
      <c r="K22" s="25">
        <f t="shared" si="7"/>
        <v>1</v>
      </c>
      <c r="L22" s="29">
        <f t="shared" si="8"/>
        <v>2</v>
      </c>
      <c r="M22" s="45">
        <f t="shared" si="9"/>
        <v>34</v>
      </c>
    </row>
    <row r="23" spans="1:17" x14ac:dyDescent="0.3">
      <c r="A23" s="12">
        <v>70</v>
      </c>
      <c r="B23" s="13">
        <v>0</v>
      </c>
      <c r="C23" s="13">
        <v>49</v>
      </c>
      <c r="D23" s="19">
        <f t="shared" si="0"/>
        <v>31</v>
      </c>
      <c r="E23" s="19">
        <f t="shared" si="1"/>
        <v>-34</v>
      </c>
      <c r="F23" s="19">
        <f t="shared" si="2"/>
        <v>11</v>
      </c>
      <c r="G23" s="19">
        <f t="shared" si="3"/>
        <v>2</v>
      </c>
      <c r="H23" s="19">
        <f t="shared" si="4"/>
        <v>50</v>
      </c>
      <c r="I23" s="19">
        <f t="shared" si="5"/>
        <v>-19</v>
      </c>
      <c r="J23" s="20">
        <f t="shared" si="6"/>
        <v>43</v>
      </c>
      <c r="K23" s="25">
        <f t="shared" si="7"/>
        <v>50</v>
      </c>
      <c r="L23" s="29">
        <f t="shared" si="8"/>
        <v>5</v>
      </c>
      <c r="M23" s="45">
        <f t="shared" si="9"/>
        <v>69</v>
      </c>
    </row>
    <row r="24" spans="1:17" x14ac:dyDescent="0.3">
      <c r="A24" s="12">
        <v>7</v>
      </c>
      <c r="B24" s="13">
        <v>35</v>
      </c>
      <c r="C24" s="13">
        <v>14</v>
      </c>
      <c r="D24" s="19">
        <f t="shared" si="0"/>
        <v>-32</v>
      </c>
      <c r="E24" s="19">
        <f t="shared" si="1"/>
        <v>1</v>
      </c>
      <c r="F24" s="19">
        <f t="shared" si="2"/>
        <v>-24</v>
      </c>
      <c r="G24" s="19">
        <f t="shared" si="3"/>
        <v>-26</v>
      </c>
      <c r="H24" s="19">
        <f t="shared" si="4"/>
        <v>-48</v>
      </c>
      <c r="I24" s="19">
        <f t="shared" si="5"/>
        <v>-19</v>
      </c>
      <c r="J24" s="20">
        <f t="shared" si="6"/>
        <v>-20</v>
      </c>
      <c r="K24" s="25">
        <f t="shared" si="7"/>
        <v>1</v>
      </c>
      <c r="L24" s="29">
        <f t="shared" si="8"/>
        <v>2</v>
      </c>
      <c r="M24" s="45">
        <f t="shared" si="9"/>
        <v>34</v>
      </c>
    </row>
    <row r="25" spans="1:17" x14ac:dyDescent="0.3">
      <c r="A25" s="12">
        <v>21</v>
      </c>
      <c r="B25" s="13">
        <v>35</v>
      </c>
      <c r="C25" s="13">
        <v>42</v>
      </c>
      <c r="D25" s="19">
        <f t="shared" si="0"/>
        <v>-18</v>
      </c>
      <c r="E25" s="19">
        <f t="shared" si="1"/>
        <v>1</v>
      </c>
      <c r="F25" s="19">
        <f t="shared" si="2"/>
        <v>4</v>
      </c>
      <c r="G25" s="19">
        <f t="shared" si="3"/>
        <v>-12</v>
      </c>
      <c r="H25" s="19">
        <f t="shared" si="4"/>
        <v>-6</v>
      </c>
      <c r="I25" s="19">
        <f t="shared" si="5"/>
        <v>9</v>
      </c>
      <c r="J25" s="20">
        <f t="shared" si="6"/>
        <v>22</v>
      </c>
      <c r="K25" s="25">
        <f t="shared" si="7"/>
        <v>22</v>
      </c>
      <c r="L25" s="29">
        <f t="shared" si="8"/>
        <v>7</v>
      </c>
      <c r="M25" s="45">
        <f t="shared" si="9"/>
        <v>76</v>
      </c>
    </row>
    <row r="26" spans="1:17" x14ac:dyDescent="0.3">
      <c r="A26" s="12">
        <v>20.650000000000002</v>
      </c>
      <c r="B26" s="13">
        <v>34.65</v>
      </c>
      <c r="C26" s="13">
        <v>34.65</v>
      </c>
      <c r="D26" s="19">
        <f t="shared" si="0"/>
        <v>-18.349999999999998</v>
      </c>
      <c r="E26" s="19">
        <f t="shared" si="1"/>
        <v>0.64999999999999858</v>
      </c>
      <c r="F26" s="19">
        <f t="shared" si="2"/>
        <v>-3.3500000000000014</v>
      </c>
      <c r="G26" s="19">
        <f t="shared" si="3"/>
        <v>-12.700000000000003</v>
      </c>
      <c r="H26" s="19">
        <f t="shared" si="4"/>
        <v>-13.700000000000003</v>
      </c>
      <c r="I26" s="19">
        <f t="shared" si="5"/>
        <v>1.2999999999999972</v>
      </c>
      <c r="J26" s="20">
        <f t="shared" si="6"/>
        <v>13.949999999999989</v>
      </c>
      <c r="K26" s="25">
        <f t="shared" si="7"/>
        <v>13.949999999999989</v>
      </c>
      <c r="L26" s="29">
        <f t="shared" si="8"/>
        <v>7</v>
      </c>
      <c r="M26" s="45">
        <f t="shared" si="9"/>
        <v>76</v>
      </c>
    </row>
    <row r="27" spans="1:17" x14ac:dyDescent="0.3">
      <c r="A27" s="12">
        <v>1.75</v>
      </c>
      <c r="B27" s="13">
        <v>21</v>
      </c>
      <c r="C27" s="13">
        <v>0</v>
      </c>
      <c r="D27" s="19">
        <f t="shared" si="0"/>
        <v>-37.25</v>
      </c>
      <c r="E27" s="19">
        <f t="shared" si="1"/>
        <v>-13</v>
      </c>
      <c r="F27" s="19">
        <f t="shared" si="2"/>
        <v>-38</v>
      </c>
      <c r="G27" s="19">
        <f t="shared" si="3"/>
        <v>-45.25</v>
      </c>
      <c r="H27" s="19">
        <f t="shared" si="4"/>
        <v>-67.25</v>
      </c>
      <c r="I27" s="19">
        <f t="shared" si="5"/>
        <v>-47</v>
      </c>
      <c r="J27" s="20">
        <f t="shared" si="6"/>
        <v>-53.25</v>
      </c>
      <c r="K27" s="25">
        <f t="shared" si="7"/>
        <v>-13</v>
      </c>
      <c r="L27" s="29">
        <f t="shared" si="8"/>
        <v>0</v>
      </c>
      <c r="M27" s="45">
        <f t="shared" si="9"/>
        <v>0</v>
      </c>
    </row>
    <row r="28" spans="1:17" x14ac:dyDescent="0.3">
      <c r="A28" s="12">
        <v>21</v>
      </c>
      <c r="B28" s="13">
        <v>17.5</v>
      </c>
      <c r="C28" s="13">
        <v>21</v>
      </c>
      <c r="D28" s="19">
        <f t="shared" si="0"/>
        <v>-18</v>
      </c>
      <c r="E28" s="19">
        <f t="shared" si="1"/>
        <v>-16.5</v>
      </c>
      <c r="F28" s="19">
        <f t="shared" si="2"/>
        <v>-17</v>
      </c>
      <c r="G28" s="19">
        <f t="shared" si="3"/>
        <v>-29.5</v>
      </c>
      <c r="H28" s="19">
        <f t="shared" si="4"/>
        <v>-27</v>
      </c>
      <c r="I28" s="19">
        <f t="shared" si="5"/>
        <v>-29.5</v>
      </c>
      <c r="J28" s="20">
        <f t="shared" si="6"/>
        <v>-16.5</v>
      </c>
      <c r="K28" s="25">
        <f t="shared" si="7"/>
        <v>-16.5</v>
      </c>
      <c r="L28" s="29">
        <f t="shared" si="8"/>
        <v>0</v>
      </c>
      <c r="M28" s="45">
        <f t="shared" si="9"/>
        <v>0</v>
      </c>
    </row>
    <row r="29" spans="1:17" x14ac:dyDescent="0.3">
      <c r="A29" s="12">
        <v>27.650000000000002</v>
      </c>
      <c r="B29" s="13">
        <v>34.65</v>
      </c>
      <c r="C29" s="13">
        <v>41.65</v>
      </c>
      <c r="D29" s="19">
        <f t="shared" si="0"/>
        <v>-11.349999999999998</v>
      </c>
      <c r="E29" s="19">
        <f t="shared" si="1"/>
        <v>0.64999999999999858</v>
      </c>
      <c r="F29" s="19">
        <f t="shared" si="2"/>
        <v>3.6499999999999986</v>
      </c>
      <c r="G29" s="19">
        <f t="shared" si="3"/>
        <v>-5.7000000000000028</v>
      </c>
      <c r="H29" s="19">
        <f t="shared" si="4"/>
        <v>0.29999999999999716</v>
      </c>
      <c r="I29" s="19">
        <f t="shared" si="5"/>
        <v>8.2999999999999972</v>
      </c>
      <c r="J29" s="20">
        <f t="shared" si="6"/>
        <v>27.949999999999989</v>
      </c>
      <c r="K29" s="25">
        <f t="shared" si="7"/>
        <v>27.949999999999989</v>
      </c>
      <c r="L29" s="29">
        <f t="shared" si="8"/>
        <v>7</v>
      </c>
      <c r="M29" s="45">
        <f t="shared" si="9"/>
        <v>76</v>
      </c>
    </row>
    <row r="30" spans="1:17" x14ac:dyDescent="0.3">
      <c r="A30" s="12">
        <v>7</v>
      </c>
      <c r="B30" s="13">
        <v>0</v>
      </c>
      <c r="C30" s="13">
        <v>28</v>
      </c>
      <c r="D30" s="19">
        <f t="shared" si="0"/>
        <v>-32</v>
      </c>
      <c r="E30" s="19">
        <f t="shared" si="1"/>
        <v>-34</v>
      </c>
      <c r="F30" s="19">
        <f t="shared" si="2"/>
        <v>-10</v>
      </c>
      <c r="G30" s="19">
        <f t="shared" si="3"/>
        <v>-61</v>
      </c>
      <c r="H30" s="19">
        <f t="shared" si="4"/>
        <v>-34</v>
      </c>
      <c r="I30" s="19">
        <f t="shared" si="5"/>
        <v>-40</v>
      </c>
      <c r="J30" s="20">
        <f t="shared" si="6"/>
        <v>-41</v>
      </c>
      <c r="K30" s="25">
        <f t="shared" si="7"/>
        <v>-10</v>
      </c>
      <c r="L30" s="29">
        <f t="shared" si="8"/>
        <v>0</v>
      </c>
      <c r="M30" s="45">
        <f t="shared" si="9"/>
        <v>0</v>
      </c>
    </row>
    <row r="31" spans="1:17" x14ac:dyDescent="0.3">
      <c r="A31" s="12">
        <v>21</v>
      </c>
      <c r="B31" s="13">
        <v>35</v>
      </c>
      <c r="C31" s="13">
        <v>10.5</v>
      </c>
      <c r="D31" s="19">
        <f t="shared" si="0"/>
        <v>-18</v>
      </c>
      <c r="E31" s="19">
        <f t="shared" si="1"/>
        <v>1</v>
      </c>
      <c r="F31" s="19">
        <f t="shared" si="2"/>
        <v>-27.5</v>
      </c>
      <c r="G31" s="19">
        <f t="shared" si="3"/>
        <v>-12</v>
      </c>
      <c r="H31" s="19">
        <f t="shared" si="4"/>
        <v>-37.5</v>
      </c>
      <c r="I31" s="19">
        <f t="shared" si="5"/>
        <v>-22.5</v>
      </c>
      <c r="J31" s="20">
        <f t="shared" si="6"/>
        <v>-9.5</v>
      </c>
      <c r="K31" s="25">
        <f t="shared" si="7"/>
        <v>1</v>
      </c>
      <c r="L31" s="29">
        <f t="shared" si="8"/>
        <v>2</v>
      </c>
      <c r="M31" s="45">
        <f t="shared" si="9"/>
        <v>34</v>
      </c>
    </row>
    <row r="32" spans="1:17" x14ac:dyDescent="0.3">
      <c r="A32" s="12">
        <v>27.650000000000002</v>
      </c>
      <c r="B32" s="13">
        <v>69.649999999999991</v>
      </c>
      <c r="C32" s="13">
        <v>27.650000000000002</v>
      </c>
      <c r="D32" s="19">
        <f t="shared" si="0"/>
        <v>-11.349999999999998</v>
      </c>
      <c r="E32" s="19">
        <f t="shared" si="1"/>
        <v>35.649999999999991</v>
      </c>
      <c r="F32" s="19">
        <f t="shared" si="2"/>
        <v>-10.349999999999998</v>
      </c>
      <c r="G32" s="19">
        <f t="shared" si="3"/>
        <v>29.299999999999997</v>
      </c>
      <c r="H32" s="19">
        <f t="shared" si="4"/>
        <v>-13.699999999999996</v>
      </c>
      <c r="I32" s="19">
        <f t="shared" si="5"/>
        <v>29.299999999999997</v>
      </c>
      <c r="J32" s="20">
        <f t="shared" si="6"/>
        <v>48.95</v>
      </c>
      <c r="K32" s="25">
        <f t="shared" si="7"/>
        <v>48.95</v>
      </c>
      <c r="L32" s="29">
        <f t="shared" si="8"/>
        <v>7</v>
      </c>
      <c r="M32" s="45">
        <f t="shared" si="9"/>
        <v>76</v>
      </c>
    </row>
    <row r="33" spans="1:13" x14ac:dyDescent="0.3">
      <c r="A33" s="12">
        <v>35</v>
      </c>
      <c r="B33" s="13">
        <v>70</v>
      </c>
      <c r="C33" s="13">
        <v>35</v>
      </c>
      <c r="D33" s="19">
        <f t="shared" si="0"/>
        <v>-4</v>
      </c>
      <c r="E33" s="19">
        <f t="shared" si="1"/>
        <v>36</v>
      </c>
      <c r="F33" s="19">
        <f t="shared" si="2"/>
        <v>-3</v>
      </c>
      <c r="G33" s="19">
        <f t="shared" si="3"/>
        <v>37</v>
      </c>
      <c r="H33" s="19">
        <f t="shared" si="4"/>
        <v>1</v>
      </c>
      <c r="I33" s="19">
        <f t="shared" si="5"/>
        <v>37</v>
      </c>
      <c r="J33" s="20">
        <f t="shared" si="6"/>
        <v>64</v>
      </c>
      <c r="K33" s="25">
        <f t="shared" si="7"/>
        <v>64</v>
      </c>
      <c r="L33" s="29">
        <f t="shared" si="8"/>
        <v>7</v>
      </c>
      <c r="M33" s="45">
        <f t="shared" si="9"/>
        <v>76</v>
      </c>
    </row>
    <row r="34" spans="1:13" x14ac:dyDescent="0.3">
      <c r="A34" s="12">
        <v>14</v>
      </c>
      <c r="B34" s="13">
        <v>35</v>
      </c>
      <c r="C34" s="13">
        <v>7</v>
      </c>
      <c r="D34" s="19">
        <f t="shared" si="0"/>
        <v>-25</v>
      </c>
      <c r="E34" s="19">
        <f t="shared" si="1"/>
        <v>1</v>
      </c>
      <c r="F34" s="19">
        <f t="shared" si="2"/>
        <v>-31</v>
      </c>
      <c r="G34" s="19">
        <f t="shared" si="3"/>
        <v>-19</v>
      </c>
      <c r="H34" s="19">
        <f t="shared" si="4"/>
        <v>-48</v>
      </c>
      <c r="I34" s="19">
        <f t="shared" si="5"/>
        <v>-26</v>
      </c>
      <c r="J34" s="20">
        <f t="shared" si="6"/>
        <v>-20</v>
      </c>
      <c r="K34" s="25">
        <f t="shared" si="7"/>
        <v>1</v>
      </c>
      <c r="L34" s="29">
        <f t="shared" si="8"/>
        <v>2</v>
      </c>
      <c r="M34" s="45">
        <f t="shared" si="9"/>
        <v>34</v>
      </c>
    </row>
    <row r="35" spans="1:13" x14ac:dyDescent="0.3">
      <c r="A35" s="12">
        <v>21</v>
      </c>
      <c r="B35" s="13">
        <v>35</v>
      </c>
      <c r="C35" s="13">
        <v>28</v>
      </c>
      <c r="D35" s="19">
        <f t="shared" si="0"/>
        <v>-18</v>
      </c>
      <c r="E35" s="19">
        <f t="shared" si="1"/>
        <v>1</v>
      </c>
      <c r="F35" s="19">
        <f t="shared" si="2"/>
        <v>-10</v>
      </c>
      <c r="G35" s="19">
        <f t="shared" si="3"/>
        <v>-12</v>
      </c>
      <c r="H35" s="19">
        <f t="shared" si="4"/>
        <v>-20</v>
      </c>
      <c r="I35" s="19">
        <f t="shared" si="5"/>
        <v>-5</v>
      </c>
      <c r="J35" s="20">
        <f t="shared" si="6"/>
        <v>8</v>
      </c>
      <c r="K35" s="25">
        <f t="shared" si="7"/>
        <v>8</v>
      </c>
      <c r="L35" s="29">
        <f t="shared" si="8"/>
        <v>7</v>
      </c>
      <c r="M35" s="45">
        <f t="shared" si="9"/>
        <v>76</v>
      </c>
    </row>
    <row r="36" spans="1:13" x14ac:dyDescent="0.3">
      <c r="A36" s="12">
        <v>7</v>
      </c>
      <c r="B36" s="13">
        <v>70</v>
      </c>
      <c r="C36" s="13">
        <v>0</v>
      </c>
      <c r="D36" s="19">
        <f t="shared" si="0"/>
        <v>-32</v>
      </c>
      <c r="E36" s="19">
        <f t="shared" si="1"/>
        <v>36</v>
      </c>
      <c r="F36" s="19">
        <f t="shared" si="2"/>
        <v>-38</v>
      </c>
      <c r="G36" s="19">
        <f t="shared" si="3"/>
        <v>9</v>
      </c>
      <c r="H36" s="19">
        <f t="shared" si="4"/>
        <v>-62</v>
      </c>
      <c r="I36" s="19">
        <f t="shared" si="5"/>
        <v>2</v>
      </c>
      <c r="J36" s="20">
        <f t="shared" si="6"/>
        <v>1</v>
      </c>
      <c r="K36" s="25">
        <f t="shared" si="7"/>
        <v>36</v>
      </c>
      <c r="L36" s="29">
        <f t="shared" si="8"/>
        <v>2</v>
      </c>
      <c r="M36" s="45">
        <f t="shared" si="9"/>
        <v>34</v>
      </c>
    </row>
    <row r="37" spans="1:13" x14ac:dyDescent="0.3">
      <c r="A37" s="12">
        <v>3.5</v>
      </c>
      <c r="B37" s="13">
        <v>7</v>
      </c>
      <c r="C37" s="13">
        <v>10.5</v>
      </c>
      <c r="D37" s="19">
        <f t="shared" si="0"/>
        <v>-35.5</v>
      </c>
      <c r="E37" s="19">
        <f t="shared" si="1"/>
        <v>-27</v>
      </c>
      <c r="F37" s="19">
        <f t="shared" si="2"/>
        <v>-27.5</v>
      </c>
      <c r="G37" s="19">
        <f t="shared" si="3"/>
        <v>-57.5</v>
      </c>
      <c r="H37" s="19">
        <f t="shared" si="4"/>
        <v>-55</v>
      </c>
      <c r="I37" s="19">
        <f t="shared" si="5"/>
        <v>-50.5</v>
      </c>
      <c r="J37" s="20">
        <f t="shared" si="6"/>
        <v>-55</v>
      </c>
      <c r="K37" s="25">
        <f t="shared" si="7"/>
        <v>-27</v>
      </c>
      <c r="L37" s="29">
        <f t="shared" si="8"/>
        <v>0</v>
      </c>
      <c r="M37" s="45">
        <f t="shared" si="9"/>
        <v>0</v>
      </c>
    </row>
    <row r="38" spans="1:13" x14ac:dyDescent="0.3">
      <c r="A38" s="12">
        <v>0</v>
      </c>
      <c r="B38" s="13">
        <v>21</v>
      </c>
      <c r="C38" s="13">
        <v>14</v>
      </c>
      <c r="D38" s="19">
        <f t="shared" si="0"/>
        <v>-39</v>
      </c>
      <c r="E38" s="19">
        <f t="shared" si="1"/>
        <v>-13</v>
      </c>
      <c r="F38" s="19">
        <f t="shared" si="2"/>
        <v>-24</v>
      </c>
      <c r="G38" s="19">
        <f t="shared" si="3"/>
        <v>-47</v>
      </c>
      <c r="H38" s="19">
        <f t="shared" si="4"/>
        <v>-55</v>
      </c>
      <c r="I38" s="19">
        <f t="shared" si="5"/>
        <v>-33</v>
      </c>
      <c r="J38" s="20">
        <f t="shared" si="6"/>
        <v>-41</v>
      </c>
      <c r="K38" s="25">
        <f t="shared" si="7"/>
        <v>-13</v>
      </c>
      <c r="L38" s="29">
        <f t="shared" si="8"/>
        <v>0</v>
      </c>
      <c r="M38" s="45">
        <f t="shared" si="9"/>
        <v>0</v>
      </c>
    </row>
    <row r="39" spans="1:13" x14ac:dyDescent="0.3">
      <c r="A39" s="12">
        <v>21</v>
      </c>
      <c r="B39" s="13">
        <v>56</v>
      </c>
      <c r="C39" s="13">
        <v>35</v>
      </c>
      <c r="D39" s="19">
        <f t="shared" si="0"/>
        <v>-18</v>
      </c>
      <c r="E39" s="19">
        <f t="shared" si="1"/>
        <v>22</v>
      </c>
      <c r="F39" s="19">
        <f t="shared" si="2"/>
        <v>-3</v>
      </c>
      <c r="G39" s="19">
        <f t="shared" si="3"/>
        <v>9</v>
      </c>
      <c r="H39" s="19">
        <f t="shared" si="4"/>
        <v>-13</v>
      </c>
      <c r="I39" s="19">
        <f t="shared" si="5"/>
        <v>23</v>
      </c>
      <c r="J39" s="20">
        <f t="shared" si="6"/>
        <v>36</v>
      </c>
      <c r="K39" s="25">
        <f t="shared" si="7"/>
        <v>36</v>
      </c>
      <c r="L39" s="29">
        <f t="shared" si="8"/>
        <v>7</v>
      </c>
      <c r="M39" s="45">
        <f t="shared" si="9"/>
        <v>76</v>
      </c>
    </row>
    <row r="40" spans="1:13" x14ac:dyDescent="0.3">
      <c r="A40" s="12">
        <v>49</v>
      </c>
      <c r="B40" s="13">
        <v>105</v>
      </c>
      <c r="C40" s="13">
        <v>0</v>
      </c>
      <c r="D40" s="19">
        <f t="shared" si="0"/>
        <v>10</v>
      </c>
      <c r="E40" s="19">
        <f t="shared" si="1"/>
        <v>71</v>
      </c>
      <c r="F40" s="19">
        <f t="shared" si="2"/>
        <v>-38</v>
      </c>
      <c r="G40" s="19">
        <f t="shared" si="3"/>
        <v>86</v>
      </c>
      <c r="H40" s="19">
        <f t="shared" si="4"/>
        <v>-20</v>
      </c>
      <c r="I40" s="19">
        <f t="shared" si="5"/>
        <v>37</v>
      </c>
      <c r="J40" s="20">
        <f t="shared" si="6"/>
        <v>78</v>
      </c>
      <c r="K40" s="25">
        <f t="shared" si="7"/>
        <v>86</v>
      </c>
      <c r="L40" s="29">
        <f t="shared" si="8"/>
        <v>4</v>
      </c>
      <c r="M40" s="45">
        <f t="shared" si="9"/>
        <v>68</v>
      </c>
    </row>
    <row r="41" spans="1:13" x14ac:dyDescent="0.3">
      <c r="A41" s="12">
        <v>70</v>
      </c>
      <c r="B41" s="13">
        <v>70</v>
      </c>
      <c r="C41" s="13">
        <v>140</v>
      </c>
      <c r="D41" s="19">
        <f t="shared" si="0"/>
        <v>31</v>
      </c>
      <c r="E41" s="19">
        <f t="shared" si="1"/>
        <v>36</v>
      </c>
      <c r="F41" s="19">
        <f t="shared" si="2"/>
        <v>102</v>
      </c>
      <c r="G41" s="19">
        <f t="shared" si="3"/>
        <v>72</v>
      </c>
      <c r="H41" s="19">
        <f t="shared" si="4"/>
        <v>141</v>
      </c>
      <c r="I41" s="19">
        <f t="shared" si="5"/>
        <v>142</v>
      </c>
      <c r="J41" s="20">
        <f t="shared" si="6"/>
        <v>204</v>
      </c>
      <c r="K41" s="25">
        <f t="shared" si="7"/>
        <v>204</v>
      </c>
      <c r="L41" s="29">
        <f t="shared" si="8"/>
        <v>7</v>
      </c>
      <c r="M41" s="45">
        <f t="shared" si="9"/>
        <v>76</v>
      </c>
    </row>
    <row r="42" spans="1:13" x14ac:dyDescent="0.3">
      <c r="A42" s="12">
        <v>21</v>
      </c>
      <c r="B42" s="13">
        <v>105</v>
      </c>
      <c r="C42" s="13">
        <v>14</v>
      </c>
      <c r="D42" s="19">
        <f t="shared" si="0"/>
        <v>-18</v>
      </c>
      <c r="E42" s="19">
        <f t="shared" si="1"/>
        <v>71</v>
      </c>
      <c r="F42" s="19">
        <f t="shared" si="2"/>
        <v>-24</v>
      </c>
      <c r="G42" s="19">
        <f t="shared" si="3"/>
        <v>58</v>
      </c>
      <c r="H42" s="19">
        <f t="shared" si="4"/>
        <v>-34</v>
      </c>
      <c r="I42" s="19">
        <f t="shared" si="5"/>
        <v>51</v>
      </c>
      <c r="J42" s="20">
        <f t="shared" si="6"/>
        <v>64</v>
      </c>
      <c r="K42" s="25">
        <f t="shared" si="7"/>
        <v>71</v>
      </c>
      <c r="L42" s="29">
        <f t="shared" si="8"/>
        <v>2</v>
      </c>
      <c r="M42" s="45">
        <f t="shared" si="9"/>
        <v>34</v>
      </c>
    </row>
    <row r="43" spans="1:13" x14ac:dyDescent="0.3">
      <c r="A43" s="12">
        <v>21</v>
      </c>
      <c r="B43" s="13">
        <v>35</v>
      </c>
      <c r="C43" s="13">
        <v>14</v>
      </c>
      <c r="D43" s="19">
        <f t="shared" si="0"/>
        <v>-18</v>
      </c>
      <c r="E43" s="19">
        <f t="shared" si="1"/>
        <v>1</v>
      </c>
      <c r="F43" s="19">
        <f t="shared" si="2"/>
        <v>-24</v>
      </c>
      <c r="G43" s="19">
        <f t="shared" si="3"/>
        <v>-12</v>
      </c>
      <c r="H43" s="19">
        <f t="shared" si="4"/>
        <v>-34</v>
      </c>
      <c r="I43" s="19">
        <f t="shared" si="5"/>
        <v>-19</v>
      </c>
      <c r="J43" s="20">
        <f t="shared" si="6"/>
        <v>-6</v>
      </c>
      <c r="K43" s="25">
        <f t="shared" si="7"/>
        <v>1</v>
      </c>
      <c r="L43" s="29">
        <f t="shared" si="8"/>
        <v>2</v>
      </c>
      <c r="M43" s="45">
        <f t="shared" si="9"/>
        <v>34</v>
      </c>
    </row>
    <row r="44" spans="1:13" x14ac:dyDescent="0.3">
      <c r="A44" s="12">
        <v>0</v>
      </c>
      <c r="B44" s="13">
        <v>140</v>
      </c>
      <c r="C44" s="13">
        <v>0</v>
      </c>
      <c r="D44" s="19">
        <f t="shared" si="0"/>
        <v>-39</v>
      </c>
      <c r="E44" s="19">
        <f t="shared" si="1"/>
        <v>106</v>
      </c>
      <c r="F44" s="19">
        <f t="shared" si="2"/>
        <v>-38</v>
      </c>
      <c r="G44" s="19">
        <f t="shared" si="3"/>
        <v>72</v>
      </c>
      <c r="H44" s="19">
        <f t="shared" si="4"/>
        <v>-69</v>
      </c>
      <c r="I44" s="19">
        <f t="shared" si="5"/>
        <v>72</v>
      </c>
      <c r="J44" s="20">
        <f t="shared" si="6"/>
        <v>64</v>
      </c>
      <c r="K44" s="25">
        <f t="shared" si="7"/>
        <v>106</v>
      </c>
      <c r="L44" s="29">
        <f t="shared" si="8"/>
        <v>2</v>
      </c>
      <c r="M44" s="45">
        <f t="shared" si="9"/>
        <v>34</v>
      </c>
    </row>
    <row r="45" spans="1:13" x14ac:dyDescent="0.3">
      <c r="A45" s="12">
        <v>0</v>
      </c>
      <c r="B45" s="13">
        <v>35</v>
      </c>
      <c r="C45" s="13">
        <v>0</v>
      </c>
      <c r="D45" s="19">
        <f t="shared" si="0"/>
        <v>-39</v>
      </c>
      <c r="E45" s="19">
        <f t="shared" si="1"/>
        <v>1</v>
      </c>
      <c r="F45" s="19">
        <f t="shared" si="2"/>
        <v>-38</v>
      </c>
      <c r="G45" s="19">
        <f t="shared" si="3"/>
        <v>-33</v>
      </c>
      <c r="H45" s="19">
        <f t="shared" si="4"/>
        <v>-69</v>
      </c>
      <c r="I45" s="19">
        <f t="shared" si="5"/>
        <v>-33</v>
      </c>
      <c r="J45" s="20">
        <f t="shared" si="6"/>
        <v>-41</v>
      </c>
      <c r="K45" s="25">
        <f t="shared" si="7"/>
        <v>1</v>
      </c>
      <c r="L45" s="29">
        <f t="shared" si="8"/>
        <v>2</v>
      </c>
      <c r="M45" s="45">
        <f t="shared" si="9"/>
        <v>34</v>
      </c>
    </row>
    <row r="46" spans="1:13" x14ac:dyDescent="0.3">
      <c r="A46" s="12">
        <v>7</v>
      </c>
      <c r="B46" s="13">
        <v>35</v>
      </c>
      <c r="C46" s="13">
        <v>21</v>
      </c>
      <c r="D46" s="19">
        <f t="shared" si="0"/>
        <v>-32</v>
      </c>
      <c r="E46" s="19">
        <f t="shared" si="1"/>
        <v>1</v>
      </c>
      <c r="F46" s="19">
        <f t="shared" si="2"/>
        <v>-17</v>
      </c>
      <c r="G46" s="19">
        <f t="shared" si="3"/>
        <v>-26</v>
      </c>
      <c r="H46" s="19">
        <f t="shared" si="4"/>
        <v>-41</v>
      </c>
      <c r="I46" s="19">
        <f t="shared" si="5"/>
        <v>-12</v>
      </c>
      <c r="J46" s="20">
        <f t="shared" si="6"/>
        <v>-13</v>
      </c>
      <c r="K46" s="25">
        <f t="shared" si="7"/>
        <v>1</v>
      </c>
      <c r="L46" s="29">
        <f t="shared" si="8"/>
        <v>2</v>
      </c>
      <c r="M46" s="45">
        <f t="shared" si="9"/>
        <v>34</v>
      </c>
    </row>
    <row r="47" spans="1:13" x14ac:dyDescent="0.3">
      <c r="A47" s="12">
        <v>35</v>
      </c>
      <c r="B47" s="13">
        <v>35</v>
      </c>
      <c r="C47" s="13">
        <v>35</v>
      </c>
      <c r="D47" s="19">
        <f t="shared" si="0"/>
        <v>-4</v>
      </c>
      <c r="E47" s="19">
        <f t="shared" si="1"/>
        <v>1</v>
      </c>
      <c r="F47" s="19">
        <f t="shared" si="2"/>
        <v>-3</v>
      </c>
      <c r="G47" s="19">
        <f t="shared" si="3"/>
        <v>2</v>
      </c>
      <c r="H47" s="19">
        <f t="shared" si="4"/>
        <v>1</v>
      </c>
      <c r="I47" s="19">
        <f t="shared" si="5"/>
        <v>2</v>
      </c>
      <c r="J47" s="20">
        <f t="shared" si="6"/>
        <v>29</v>
      </c>
      <c r="K47" s="25">
        <f t="shared" si="7"/>
        <v>29</v>
      </c>
      <c r="L47" s="29">
        <f t="shared" si="8"/>
        <v>7</v>
      </c>
      <c r="M47" s="45">
        <f t="shared" si="9"/>
        <v>76</v>
      </c>
    </row>
    <row r="48" spans="1:13" x14ac:dyDescent="0.3">
      <c r="A48" s="12">
        <v>21</v>
      </c>
      <c r="B48" s="13">
        <v>31.5</v>
      </c>
      <c r="C48" s="13">
        <v>17.5</v>
      </c>
      <c r="D48" s="19">
        <f t="shared" si="0"/>
        <v>-18</v>
      </c>
      <c r="E48" s="19">
        <f t="shared" si="1"/>
        <v>-2.5</v>
      </c>
      <c r="F48" s="19">
        <f t="shared" si="2"/>
        <v>-20.5</v>
      </c>
      <c r="G48" s="19">
        <f t="shared" si="3"/>
        <v>-15.5</v>
      </c>
      <c r="H48" s="19">
        <f t="shared" si="4"/>
        <v>-30.5</v>
      </c>
      <c r="I48" s="19">
        <f t="shared" si="5"/>
        <v>-19</v>
      </c>
      <c r="J48" s="20">
        <f t="shared" si="6"/>
        <v>-6</v>
      </c>
      <c r="K48" s="25">
        <f t="shared" si="7"/>
        <v>-2.5</v>
      </c>
      <c r="L48" s="29">
        <f t="shared" si="8"/>
        <v>0</v>
      </c>
      <c r="M48" s="45">
        <f t="shared" si="9"/>
        <v>0</v>
      </c>
    </row>
    <row r="49" spans="1:13" x14ac:dyDescent="0.3">
      <c r="A49" s="12">
        <v>7</v>
      </c>
      <c r="B49" s="13">
        <v>21</v>
      </c>
      <c r="C49" s="13">
        <v>7</v>
      </c>
      <c r="D49" s="19">
        <f t="shared" si="0"/>
        <v>-32</v>
      </c>
      <c r="E49" s="19">
        <f t="shared" si="1"/>
        <v>-13</v>
      </c>
      <c r="F49" s="19">
        <f t="shared" si="2"/>
        <v>-31</v>
      </c>
      <c r="G49" s="19">
        <f t="shared" si="3"/>
        <v>-40</v>
      </c>
      <c r="H49" s="19">
        <f t="shared" si="4"/>
        <v>-55</v>
      </c>
      <c r="I49" s="19">
        <f t="shared" si="5"/>
        <v>-40</v>
      </c>
      <c r="J49" s="20">
        <f t="shared" si="6"/>
        <v>-41</v>
      </c>
      <c r="K49" s="25">
        <f t="shared" si="7"/>
        <v>-13</v>
      </c>
      <c r="L49" s="29">
        <f t="shared" si="8"/>
        <v>0</v>
      </c>
      <c r="M49" s="45">
        <f t="shared" si="9"/>
        <v>0</v>
      </c>
    </row>
    <row r="50" spans="1:13" x14ac:dyDescent="0.3">
      <c r="A50" s="12">
        <v>35</v>
      </c>
      <c r="B50" s="13">
        <v>35</v>
      </c>
      <c r="C50" s="13">
        <v>35</v>
      </c>
      <c r="D50" s="19">
        <f t="shared" si="0"/>
        <v>-4</v>
      </c>
      <c r="E50" s="19">
        <f t="shared" si="1"/>
        <v>1</v>
      </c>
      <c r="F50" s="19">
        <f t="shared" si="2"/>
        <v>-3</v>
      </c>
      <c r="G50" s="19">
        <f t="shared" si="3"/>
        <v>2</v>
      </c>
      <c r="H50" s="19">
        <f t="shared" si="4"/>
        <v>1</v>
      </c>
      <c r="I50" s="19">
        <f t="shared" si="5"/>
        <v>2</v>
      </c>
      <c r="J50" s="20">
        <f t="shared" si="6"/>
        <v>29</v>
      </c>
      <c r="K50" s="25">
        <f t="shared" si="7"/>
        <v>29</v>
      </c>
      <c r="L50" s="29">
        <f t="shared" si="8"/>
        <v>7</v>
      </c>
      <c r="M50" s="45">
        <f t="shared" si="9"/>
        <v>76</v>
      </c>
    </row>
    <row r="51" spans="1:13" x14ac:dyDescent="0.3">
      <c r="A51" s="12">
        <v>28</v>
      </c>
      <c r="B51" s="13">
        <v>70</v>
      </c>
      <c r="C51" s="13">
        <v>70</v>
      </c>
      <c r="D51" s="19">
        <f t="shared" si="0"/>
        <v>-11</v>
      </c>
      <c r="E51" s="19">
        <f t="shared" si="1"/>
        <v>36</v>
      </c>
      <c r="F51" s="19">
        <f t="shared" si="2"/>
        <v>32</v>
      </c>
      <c r="G51" s="19">
        <f t="shared" si="3"/>
        <v>30</v>
      </c>
      <c r="H51" s="19">
        <f t="shared" si="4"/>
        <v>29</v>
      </c>
      <c r="I51" s="19">
        <f t="shared" si="5"/>
        <v>72</v>
      </c>
      <c r="J51" s="20">
        <f t="shared" si="6"/>
        <v>92</v>
      </c>
      <c r="K51" s="25">
        <f t="shared" si="7"/>
        <v>92</v>
      </c>
      <c r="L51" s="29">
        <f t="shared" si="8"/>
        <v>7</v>
      </c>
      <c r="M51" s="45">
        <f t="shared" si="9"/>
        <v>76</v>
      </c>
    </row>
    <row r="52" spans="1:13" x14ac:dyDescent="0.3">
      <c r="A52" s="12">
        <v>21</v>
      </c>
      <c r="B52" s="13">
        <v>0</v>
      </c>
      <c r="C52" s="13">
        <v>14</v>
      </c>
      <c r="D52" s="19">
        <f t="shared" si="0"/>
        <v>-18</v>
      </c>
      <c r="E52" s="19">
        <f t="shared" si="1"/>
        <v>-34</v>
      </c>
      <c r="F52" s="19">
        <f t="shared" si="2"/>
        <v>-24</v>
      </c>
      <c r="G52" s="19">
        <f t="shared" si="3"/>
        <v>-47</v>
      </c>
      <c r="H52" s="19">
        <f t="shared" si="4"/>
        <v>-34</v>
      </c>
      <c r="I52" s="19">
        <f t="shared" si="5"/>
        <v>-54</v>
      </c>
      <c r="J52" s="20">
        <f t="shared" si="6"/>
        <v>-41</v>
      </c>
      <c r="K52" s="25">
        <f t="shared" si="7"/>
        <v>-18</v>
      </c>
      <c r="L52" s="29">
        <f t="shared" si="8"/>
        <v>0</v>
      </c>
      <c r="M52" s="45">
        <f t="shared" si="9"/>
        <v>0</v>
      </c>
    </row>
    <row r="53" spans="1:13" x14ac:dyDescent="0.3">
      <c r="A53" s="12">
        <v>35</v>
      </c>
      <c r="B53" s="13">
        <v>35</v>
      </c>
      <c r="C53" s="13">
        <v>35</v>
      </c>
      <c r="D53" s="19">
        <f t="shared" si="0"/>
        <v>-4</v>
      </c>
      <c r="E53" s="19">
        <f t="shared" si="1"/>
        <v>1</v>
      </c>
      <c r="F53" s="19">
        <f t="shared" si="2"/>
        <v>-3</v>
      </c>
      <c r="G53" s="19">
        <f t="shared" si="3"/>
        <v>2</v>
      </c>
      <c r="H53" s="19">
        <f t="shared" si="4"/>
        <v>1</v>
      </c>
      <c r="I53" s="19">
        <f t="shared" si="5"/>
        <v>2</v>
      </c>
      <c r="J53" s="20">
        <f t="shared" si="6"/>
        <v>29</v>
      </c>
      <c r="K53" s="25">
        <f t="shared" si="7"/>
        <v>29</v>
      </c>
      <c r="L53" s="29">
        <f t="shared" si="8"/>
        <v>7</v>
      </c>
      <c r="M53" s="45">
        <f t="shared" si="9"/>
        <v>76</v>
      </c>
    </row>
    <row r="54" spans="1:13" x14ac:dyDescent="0.3">
      <c r="A54" s="12">
        <v>35</v>
      </c>
      <c r="B54" s="13">
        <v>49</v>
      </c>
      <c r="C54" s="13">
        <v>21</v>
      </c>
      <c r="D54" s="19">
        <f t="shared" si="0"/>
        <v>-4</v>
      </c>
      <c r="E54" s="19">
        <f t="shared" si="1"/>
        <v>15</v>
      </c>
      <c r="F54" s="19">
        <f t="shared" si="2"/>
        <v>-17</v>
      </c>
      <c r="G54" s="19">
        <f t="shared" si="3"/>
        <v>16</v>
      </c>
      <c r="H54" s="19">
        <f t="shared" si="4"/>
        <v>-13</v>
      </c>
      <c r="I54" s="19">
        <f t="shared" si="5"/>
        <v>2</v>
      </c>
      <c r="J54" s="20">
        <f t="shared" si="6"/>
        <v>29</v>
      </c>
      <c r="K54" s="25">
        <f t="shared" si="7"/>
        <v>29</v>
      </c>
      <c r="L54" s="29">
        <f t="shared" si="8"/>
        <v>7</v>
      </c>
      <c r="M54" s="45">
        <f t="shared" si="9"/>
        <v>76</v>
      </c>
    </row>
    <row r="55" spans="1:13" x14ac:dyDescent="0.3">
      <c r="A55" s="12">
        <v>70</v>
      </c>
      <c r="B55" s="13">
        <v>70</v>
      </c>
      <c r="C55" s="13">
        <v>35</v>
      </c>
      <c r="D55" s="19">
        <f t="shared" si="0"/>
        <v>31</v>
      </c>
      <c r="E55" s="19">
        <f t="shared" si="1"/>
        <v>36</v>
      </c>
      <c r="F55" s="19">
        <f t="shared" si="2"/>
        <v>-3</v>
      </c>
      <c r="G55" s="19">
        <f t="shared" si="3"/>
        <v>72</v>
      </c>
      <c r="H55" s="19">
        <f t="shared" si="4"/>
        <v>36</v>
      </c>
      <c r="I55" s="19">
        <f t="shared" si="5"/>
        <v>37</v>
      </c>
      <c r="J55" s="20">
        <f t="shared" si="6"/>
        <v>99</v>
      </c>
      <c r="K55" s="25">
        <f t="shared" si="7"/>
        <v>99</v>
      </c>
      <c r="L55" s="29">
        <f t="shared" si="8"/>
        <v>7</v>
      </c>
      <c r="M55" s="45">
        <f t="shared" si="9"/>
        <v>76</v>
      </c>
    </row>
    <row r="56" spans="1:13" x14ac:dyDescent="0.3">
      <c r="A56" s="12">
        <v>5.25</v>
      </c>
      <c r="B56" s="13">
        <v>17.5</v>
      </c>
      <c r="C56" s="13">
        <v>8.75</v>
      </c>
      <c r="D56" s="19">
        <f t="shared" si="0"/>
        <v>-33.75</v>
      </c>
      <c r="E56" s="19">
        <f t="shared" si="1"/>
        <v>-16.5</v>
      </c>
      <c r="F56" s="19">
        <f t="shared" si="2"/>
        <v>-29.25</v>
      </c>
      <c r="G56" s="19">
        <f t="shared" si="3"/>
        <v>-45.25</v>
      </c>
      <c r="H56" s="19">
        <f t="shared" si="4"/>
        <v>-55</v>
      </c>
      <c r="I56" s="19">
        <f t="shared" si="5"/>
        <v>-41.75</v>
      </c>
      <c r="J56" s="20">
        <f t="shared" si="6"/>
        <v>-44.5</v>
      </c>
      <c r="K56" s="25">
        <f t="shared" si="7"/>
        <v>-16.5</v>
      </c>
      <c r="L56" s="29">
        <f t="shared" si="8"/>
        <v>0</v>
      </c>
      <c r="M56" s="45">
        <f t="shared" si="9"/>
        <v>0</v>
      </c>
    </row>
    <row r="57" spans="1:13" x14ac:dyDescent="0.3">
      <c r="A57" s="12">
        <v>0</v>
      </c>
      <c r="B57" s="13">
        <v>35</v>
      </c>
      <c r="C57" s="13">
        <v>0</v>
      </c>
      <c r="D57" s="19">
        <f t="shared" si="0"/>
        <v>-39</v>
      </c>
      <c r="E57" s="19">
        <f t="shared" si="1"/>
        <v>1</v>
      </c>
      <c r="F57" s="19">
        <f t="shared" si="2"/>
        <v>-38</v>
      </c>
      <c r="G57" s="19">
        <f t="shared" si="3"/>
        <v>-33</v>
      </c>
      <c r="H57" s="19">
        <f t="shared" si="4"/>
        <v>-69</v>
      </c>
      <c r="I57" s="19">
        <f t="shared" si="5"/>
        <v>-33</v>
      </c>
      <c r="J57" s="20">
        <f t="shared" si="6"/>
        <v>-41</v>
      </c>
      <c r="K57" s="25">
        <f t="shared" si="7"/>
        <v>1</v>
      </c>
      <c r="L57" s="29">
        <f t="shared" si="8"/>
        <v>2</v>
      </c>
      <c r="M57" s="45">
        <f t="shared" si="9"/>
        <v>34</v>
      </c>
    </row>
    <row r="58" spans="1:13" x14ac:dyDescent="0.3">
      <c r="A58" s="12">
        <v>21</v>
      </c>
      <c r="B58" s="13">
        <v>35</v>
      </c>
      <c r="C58" s="13">
        <v>35</v>
      </c>
      <c r="D58" s="19">
        <f t="shared" si="0"/>
        <v>-18</v>
      </c>
      <c r="E58" s="19">
        <f t="shared" si="1"/>
        <v>1</v>
      </c>
      <c r="F58" s="19">
        <f t="shared" si="2"/>
        <v>-3</v>
      </c>
      <c r="G58" s="19">
        <f t="shared" si="3"/>
        <v>-12</v>
      </c>
      <c r="H58" s="19">
        <f t="shared" si="4"/>
        <v>-13</v>
      </c>
      <c r="I58" s="19">
        <f t="shared" si="5"/>
        <v>2</v>
      </c>
      <c r="J58" s="20">
        <f t="shared" si="6"/>
        <v>15</v>
      </c>
      <c r="K58" s="25">
        <f t="shared" si="7"/>
        <v>15</v>
      </c>
      <c r="L58" s="29">
        <f t="shared" si="8"/>
        <v>7</v>
      </c>
      <c r="M58" s="45">
        <f t="shared" si="9"/>
        <v>76</v>
      </c>
    </row>
    <row r="59" spans="1:13" x14ac:dyDescent="0.3">
      <c r="A59" s="12">
        <v>24.5</v>
      </c>
      <c r="B59" s="13">
        <v>14</v>
      </c>
      <c r="C59" s="13">
        <v>14</v>
      </c>
      <c r="D59" s="19">
        <f t="shared" si="0"/>
        <v>-14.5</v>
      </c>
      <c r="E59" s="19">
        <f t="shared" si="1"/>
        <v>-20</v>
      </c>
      <c r="F59" s="19">
        <f t="shared" si="2"/>
        <v>-24</v>
      </c>
      <c r="G59" s="19">
        <f t="shared" si="3"/>
        <v>-29.5</v>
      </c>
      <c r="H59" s="19">
        <f t="shared" si="4"/>
        <v>-30.5</v>
      </c>
      <c r="I59" s="19">
        <f t="shared" si="5"/>
        <v>-40</v>
      </c>
      <c r="J59" s="20">
        <f t="shared" si="6"/>
        <v>-23.5</v>
      </c>
      <c r="K59" s="25">
        <f t="shared" si="7"/>
        <v>-14.5</v>
      </c>
      <c r="L59" s="29">
        <f t="shared" si="8"/>
        <v>0</v>
      </c>
      <c r="M59" s="45">
        <f t="shared" si="9"/>
        <v>0</v>
      </c>
    </row>
    <row r="60" spans="1:13" x14ac:dyDescent="0.3">
      <c r="A60" s="12">
        <v>24.5</v>
      </c>
      <c r="B60" s="13">
        <v>35</v>
      </c>
      <c r="C60" s="13">
        <v>24.5</v>
      </c>
      <c r="D60" s="19">
        <f t="shared" si="0"/>
        <v>-14.5</v>
      </c>
      <c r="E60" s="19">
        <f t="shared" si="1"/>
        <v>1</v>
      </c>
      <c r="F60" s="19">
        <f t="shared" si="2"/>
        <v>-13.5</v>
      </c>
      <c r="G60" s="19">
        <f t="shared" si="3"/>
        <v>-8.5</v>
      </c>
      <c r="H60" s="19">
        <f t="shared" si="4"/>
        <v>-20</v>
      </c>
      <c r="I60" s="19">
        <f t="shared" si="5"/>
        <v>-8.5</v>
      </c>
      <c r="J60" s="20">
        <f t="shared" si="6"/>
        <v>8</v>
      </c>
      <c r="K60" s="25">
        <f t="shared" si="7"/>
        <v>8</v>
      </c>
      <c r="L60" s="29">
        <f t="shared" si="8"/>
        <v>7</v>
      </c>
      <c r="M60" s="45">
        <f t="shared" si="9"/>
        <v>76</v>
      </c>
    </row>
    <row r="61" spans="1:13" x14ac:dyDescent="0.3">
      <c r="A61" s="12">
        <v>21</v>
      </c>
      <c r="B61" s="13">
        <v>35</v>
      </c>
      <c r="C61" s="13">
        <v>52.5</v>
      </c>
      <c r="D61" s="19">
        <f t="shared" si="0"/>
        <v>-18</v>
      </c>
      <c r="E61" s="19">
        <f t="shared" si="1"/>
        <v>1</v>
      </c>
      <c r="F61" s="19">
        <f t="shared" si="2"/>
        <v>14.5</v>
      </c>
      <c r="G61" s="19">
        <f t="shared" si="3"/>
        <v>-12</v>
      </c>
      <c r="H61" s="19">
        <f t="shared" si="4"/>
        <v>4.5</v>
      </c>
      <c r="I61" s="19">
        <f t="shared" si="5"/>
        <v>19.5</v>
      </c>
      <c r="J61" s="20">
        <f t="shared" si="6"/>
        <v>32.5</v>
      </c>
      <c r="K61" s="25">
        <f t="shared" si="7"/>
        <v>32.5</v>
      </c>
      <c r="L61" s="29">
        <f t="shared" si="8"/>
        <v>7</v>
      </c>
      <c r="M61" s="45">
        <f t="shared" si="9"/>
        <v>76</v>
      </c>
    </row>
    <row r="62" spans="1:13" x14ac:dyDescent="0.3">
      <c r="A62" s="12">
        <v>35</v>
      </c>
      <c r="B62" s="13">
        <v>21</v>
      </c>
      <c r="C62" s="13">
        <v>70</v>
      </c>
      <c r="D62" s="19">
        <f t="shared" si="0"/>
        <v>-4</v>
      </c>
      <c r="E62" s="19">
        <f t="shared" si="1"/>
        <v>-13</v>
      </c>
      <c r="F62" s="19">
        <f t="shared" si="2"/>
        <v>32</v>
      </c>
      <c r="G62" s="19">
        <f t="shared" si="3"/>
        <v>-12</v>
      </c>
      <c r="H62" s="19">
        <f t="shared" si="4"/>
        <v>36</v>
      </c>
      <c r="I62" s="19">
        <f t="shared" si="5"/>
        <v>23</v>
      </c>
      <c r="J62" s="20">
        <f t="shared" si="6"/>
        <v>50</v>
      </c>
      <c r="K62" s="25">
        <f t="shared" si="7"/>
        <v>50</v>
      </c>
      <c r="L62" s="29">
        <f t="shared" si="8"/>
        <v>7</v>
      </c>
      <c r="M62" s="45">
        <f t="shared" si="9"/>
        <v>76</v>
      </c>
    </row>
    <row r="63" spans="1:13" x14ac:dyDescent="0.3">
      <c r="A63" s="12">
        <v>7</v>
      </c>
      <c r="B63" s="13">
        <v>7</v>
      </c>
      <c r="C63" s="13">
        <v>14</v>
      </c>
      <c r="D63" s="19">
        <f t="shared" si="0"/>
        <v>-32</v>
      </c>
      <c r="E63" s="19">
        <f t="shared" si="1"/>
        <v>-27</v>
      </c>
      <c r="F63" s="19">
        <f t="shared" si="2"/>
        <v>-24</v>
      </c>
      <c r="G63" s="19">
        <f t="shared" si="3"/>
        <v>-54</v>
      </c>
      <c r="H63" s="19">
        <f t="shared" si="4"/>
        <v>-48</v>
      </c>
      <c r="I63" s="19">
        <f t="shared" si="5"/>
        <v>-47</v>
      </c>
      <c r="J63" s="20">
        <f t="shared" si="6"/>
        <v>-48</v>
      </c>
      <c r="K63" s="25">
        <f t="shared" si="7"/>
        <v>-24</v>
      </c>
      <c r="L63" s="29">
        <f t="shared" si="8"/>
        <v>0</v>
      </c>
      <c r="M63" s="45">
        <f t="shared" si="9"/>
        <v>0</v>
      </c>
    </row>
    <row r="64" spans="1:13" x14ac:dyDescent="0.3">
      <c r="A64" s="12">
        <v>7</v>
      </c>
      <c r="B64" s="13">
        <v>7</v>
      </c>
      <c r="C64" s="13">
        <v>7</v>
      </c>
      <c r="D64" s="19">
        <f t="shared" si="0"/>
        <v>-32</v>
      </c>
      <c r="E64" s="19">
        <f t="shared" si="1"/>
        <v>-27</v>
      </c>
      <c r="F64" s="19">
        <f t="shared" si="2"/>
        <v>-31</v>
      </c>
      <c r="G64" s="19">
        <f t="shared" si="3"/>
        <v>-54</v>
      </c>
      <c r="H64" s="19">
        <f t="shared" si="4"/>
        <v>-55</v>
      </c>
      <c r="I64" s="19">
        <f t="shared" si="5"/>
        <v>-54</v>
      </c>
      <c r="J64" s="20">
        <f t="shared" si="6"/>
        <v>-55</v>
      </c>
      <c r="K64" s="25">
        <f t="shared" si="7"/>
        <v>-27</v>
      </c>
      <c r="L64" s="29">
        <f t="shared" si="8"/>
        <v>0</v>
      </c>
      <c r="M64" s="45">
        <f t="shared" si="9"/>
        <v>0</v>
      </c>
    </row>
    <row r="65" spans="1:13" x14ac:dyDescent="0.3">
      <c r="A65" s="12">
        <v>35</v>
      </c>
      <c r="B65" s="13">
        <v>0</v>
      </c>
      <c r="C65" s="13">
        <v>35</v>
      </c>
      <c r="D65" s="19">
        <f t="shared" si="0"/>
        <v>-4</v>
      </c>
      <c r="E65" s="19">
        <f t="shared" si="1"/>
        <v>-34</v>
      </c>
      <c r="F65" s="19">
        <f t="shared" si="2"/>
        <v>-3</v>
      </c>
      <c r="G65" s="19">
        <f t="shared" si="3"/>
        <v>-33</v>
      </c>
      <c r="H65" s="19">
        <f t="shared" si="4"/>
        <v>1</v>
      </c>
      <c r="I65" s="19">
        <f t="shared" si="5"/>
        <v>-33</v>
      </c>
      <c r="J65" s="20">
        <f t="shared" si="6"/>
        <v>-6</v>
      </c>
      <c r="K65" s="25">
        <f t="shared" si="7"/>
        <v>1</v>
      </c>
      <c r="L65" s="29">
        <f t="shared" si="8"/>
        <v>5</v>
      </c>
      <c r="M65" s="45">
        <f t="shared" si="9"/>
        <v>69</v>
      </c>
    </row>
    <row r="66" spans="1:13" x14ac:dyDescent="0.3">
      <c r="A66" s="12">
        <v>175</v>
      </c>
      <c r="B66" s="13">
        <v>210</v>
      </c>
      <c r="C66" s="13">
        <v>0</v>
      </c>
      <c r="D66" s="19">
        <f t="shared" si="0"/>
        <v>136</v>
      </c>
      <c r="E66" s="19">
        <f t="shared" si="1"/>
        <v>176</v>
      </c>
      <c r="F66" s="19">
        <f t="shared" si="2"/>
        <v>-38</v>
      </c>
      <c r="G66" s="19">
        <f t="shared" si="3"/>
        <v>317</v>
      </c>
      <c r="H66" s="19">
        <f t="shared" si="4"/>
        <v>106</v>
      </c>
      <c r="I66" s="19">
        <f t="shared" si="5"/>
        <v>142</v>
      </c>
      <c r="J66" s="20">
        <f t="shared" si="6"/>
        <v>309</v>
      </c>
      <c r="K66" s="25">
        <f t="shared" si="7"/>
        <v>317</v>
      </c>
      <c r="L66" s="29">
        <f t="shared" si="8"/>
        <v>4</v>
      </c>
      <c r="M66" s="45">
        <f t="shared" si="9"/>
        <v>68</v>
      </c>
    </row>
    <row r="67" spans="1:13" x14ac:dyDescent="0.3">
      <c r="A67" s="12">
        <v>14</v>
      </c>
      <c r="B67" s="13">
        <v>0</v>
      </c>
      <c r="C67" s="13">
        <v>0</v>
      </c>
      <c r="D67" s="19">
        <f t="shared" si="0"/>
        <v>-25</v>
      </c>
      <c r="E67" s="19">
        <f t="shared" si="1"/>
        <v>-34</v>
      </c>
      <c r="F67" s="19">
        <f t="shared" si="2"/>
        <v>-38</v>
      </c>
      <c r="G67" s="19">
        <f t="shared" si="3"/>
        <v>-54</v>
      </c>
      <c r="H67" s="19">
        <f t="shared" si="4"/>
        <v>-55</v>
      </c>
      <c r="I67" s="19">
        <f t="shared" si="5"/>
        <v>-68</v>
      </c>
      <c r="J67" s="20">
        <f t="shared" si="6"/>
        <v>-62</v>
      </c>
      <c r="K67" s="25">
        <f t="shared" si="7"/>
        <v>-25</v>
      </c>
      <c r="L67" s="29">
        <f t="shared" si="8"/>
        <v>0</v>
      </c>
      <c r="M67" s="45">
        <f t="shared" si="9"/>
        <v>0</v>
      </c>
    </row>
    <row r="68" spans="1:13" x14ac:dyDescent="0.3">
      <c r="A68" s="12">
        <v>35</v>
      </c>
      <c r="B68" s="13">
        <v>49</v>
      </c>
      <c r="C68" s="13">
        <v>14</v>
      </c>
      <c r="D68" s="19">
        <f t="shared" si="0"/>
        <v>-4</v>
      </c>
      <c r="E68" s="19">
        <f t="shared" si="1"/>
        <v>15</v>
      </c>
      <c r="F68" s="19">
        <f t="shared" si="2"/>
        <v>-24</v>
      </c>
      <c r="G68" s="19">
        <f t="shared" si="3"/>
        <v>16</v>
      </c>
      <c r="H68" s="19">
        <f t="shared" si="4"/>
        <v>-20</v>
      </c>
      <c r="I68" s="19">
        <f t="shared" si="5"/>
        <v>-5</v>
      </c>
      <c r="J68" s="20">
        <f t="shared" si="6"/>
        <v>22</v>
      </c>
      <c r="K68" s="25">
        <f t="shared" si="7"/>
        <v>22</v>
      </c>
      <c r="L68" s="29">
        <f t="shared" si="8"/>
        <v>7</v>
      </c>
      <c r="M68" s="45">
        <f t="shared" si="9"/>
        <v>76</v>
      </c>
    </row>
    <row r="69" spans="1:13" x14ac:dyDescent="0.3">
      <c r="A69" s="12">
        <v>10.5</v>
      </c>
      <c r="B69" s="13">
        <v>7</v>
      </c>
      <c r="C69" s="13">
        <v>7</v>
      </c>
      <c r="D69" s="19">
        <f t="shared" si="0"/>
        <v>-28.5</v>
      </c>
      <c r="E69" s="19">
        <f t="shared" si="1"/>
        <v>-27</v>
      </c>
      <c r="F69" s="19">
        <f t="shared" si="2"/>
        <v>-31</v>
      </c>
      <c r="G69" s="19">
        <f t="shared" si="3"/>
        <v>-50.5</v>
      </c>
      <c r="H69" s="19">
        <f t="shared" si="4"/>
        <v>-51.5</v>
      </c>
      <c r="I69" s="19">
        <f t="shared" si="5"/>
        <v>-54</v>
      </c>
      <c r="J69" s="20">
        <f t="shared" si="6"/>
        <v>-51.5</v>
      </c>
      <c r="K69" s="25">
        <f t="shared" si="7"/>
        <v>-27</v>
      </c>
      <c r="L69" s="29">
        <f t="shared" si="8"/>
        <v>0</v>
      </c>
      <c r="M69" s="45">
        <f t="shared" si="9"/>
        <v>0</v>
      </c>
    </row>
    <row r="70" spans="1:13" x14ac:dyDescent="0.3">
      <c r="A70" s="12">
        <v>7</v>
      </c>
      <c r="B70" s="13">
        <v>14</v>
      </c>
      <c r="C70" s="13">
        <v>3.5</v>
      </c>
      <c r="D70" s="19">
        <f t="shared" si="0"/>
        <v>-32</v>
      </c>
      <c r="E70" s="19">
        <f t="shared" si="1"/>
        <v>-20</v>
      </c>
      <c r="F70" s="19">
        <f t="shared" si="2"/>
        <v>-34.5</v>
      </c>
      <c r="G70" s="19">
        <f t="shared" si="3"/>
        <v>-47</v>
      </c>
      <c r="H70" s="19">
        <f t="shared" si="4"/>
        <v>-58.5</v>
      </c>
      <c r="I70" s="19">
        <f t="shared" si="5"/>
        <v>-50.5</v>
      </c>
      <c r="J70" s="20">
        <f t="shared" si="6"/>
        <v>-51.5</v>
      </c>
      <c r="K70" s="25">
        <f t="shared" si="7"/>
        <v>-20</v>
      </c>
      <c r="L70" s="29">
        <f t="shared" si="8"/>
        <v>0</v>
      </c>
      <c r="M70" s="45">
        <f t="shared" si="9"/>
        <v>0</v>
      </c>
    </row>
    <row r="71" spans="1:13" x14ac:dyDescent="0.3">
      <c r="A71" s="12">
        <v>175</v>
      </c>
      <c r="B71" s="13">
        <v>350</v>
      </c>
      <c r="C71" s="13">
        <v>70</v>
      </c>
      <c r="D71" s="19">
        <f t="shared" si="0"/>
        <v>136</v>
      </c>
      <c r="E71" s="19">
        <f t="shared" si="1"/>
        <v>316</v>
      </c>
      <c r="F71" s="19">
        <f t="shared" si="2"/>
        <v>32</v>
      </c>
      <c r="G71" s="19">
        <f t="shared" si="3"/>
        <v>457</v>
      </c>
      <c r="H71" s="19">
        <f t="shared" si="4"/>
        <v>176</v>
      </c>
      <c r="I71" s="19">
        <f t="shared" si="5"/>
        <v>352</v>
      </c>
      <c r="J71" s="20">
        <f t="shared" si="6"/>
        <v>519</v>
      </c>
      <c r="K71" s="25">
        <f t="shared" si="7"/>
        <v>519</v>
      </c>
      <c r="L71" s="29">
        <f t="shared" si="8"/>
        <v>7</v>
      </c>
      <c r="M71" s="45">
        <f t="shared" si="9"/>
        <v>76</v>
      </c>
    </row>
    <row r="72" spans="1:13" x14ac:dyDescent="0.3">
      <c r="A72" s="12">
        <v>0</v>
      </c>
      <c r="B72" s="13">
        <v>14</v>
      </c>
      <c r="C72" s="13">
        <v>14</v>
      </c>
      <c r="D72" s="19">
        <f t="shared" si="0"/>
        <v>-39</v>
      </c>
      <c r="E72" s="19">
        <f t="shared" si="1"/>
        <v>-20</v>
      </c>
      <c r="F72" s="19">
        <f t="shared" si="2"/>
        <v>-24</v>
      </c>
      <c r="G72" s="19">
        <f t="shared" si="3"/>
        <v>-54</v>
      </c>
      <c r="H72" s="19">
        <f t="shared" si="4"/>
        <v>-55</v>
      </c>
      <c r="I72" s="19">
        <f t="shared" si="5"/>
        <v>-40</v>
      </c>
      <c r="J72" s="20">
        <f t="shared" si="6"/>
        <v>-48</v>
      </c>
      <c r="K72" s="25">
        <f t="shared" si="7"/>
        <v>-20</v>
      </c>
      <c r="L72" s="29">
        <f t="shared" si="8"/>
        <v>0</v>
      </c>
      <c r="M72" s="45">
        <f t="shared" si="9"/>
        <v>0</v>
      </c>
    </row>
    <row r="73" spans="1:13" x14ac:dyDescent="0.3">
      <c r="A73" s="12">
        <v>12.25</v>
      </c>
      <c r="B73" s="13">
        <v>35</v>
      </c>
      <c r="C73" s="13">
        <v>0</v>
      </c>
      <c r="D73" s="19">
        <f t="shared" si="0"/>
        <v>-26.75</v>
      </c>
      <c r="E73" s="19">
        <f t="shared" si="1"/>
        <v>1</v>
      </c>
      <c r="F73" s="19">
        <f t="shared" si="2"/>
        <v>-38</v>
      </c>
      <c r="G73" s="19">
        <f t="shared" si="3"/>
        <v>-20.75</v>
      </c>
      <c r="H73" s="19">
        <f t="shared" si="4"/>
        <v>-56.75</v>
      </c>
      <c r="I73" s="19">
        <f t="shared" si="5"/>
        <v>-33</v>
      </c>
      <c r="J73" s="20">
        <f t="shared" si="6"/>
        <v>-28.75</v>
      </c>
      <c r="K73" s="25">
        <f t="shared" si="7"/>
        <v>1</v>
      </c>
      <c r="L73" s="29">
        <f t="shared" si="8"/>
        <v>2</v>
      </c>
      <c r="M73" s="45">
        <f t="shared" si="9"/>
        <v>34</v>
      </c>
    </row>
    <row r="74" spans="1:13" x14ac:dyDescent="0.3">
      <c r="A74" s="12">
        <v>35</v>
      </c>
      <c r="B74" s="13">
        <v>42</v>
      </c>
      <c r="C74" s="13">
        <v>42</v>
      </c>
      <c r="D74" s="19">
        <f t="shared" ref="D74:D85" si="11">A74-$D$4</f>
        <v>-4</v>
      </c>
      <c r="E74" s="19">
        <f t="shared" ref="E74:E85" si="12">B74-$E$4</f>
        <v>8</v>
      </c>
      <c r="F74" s="19">
        <f t="shared" ref="F74:F85" si="13">C74-$F$4</f>
        <v>4</v>
      </c>
      <c r="G74" s="19">
        <f t="shared" ref="G74:G85" si="14">(A74+B74)-$G$4</f>
        <v>9</v>
      </c>
      <c r="H74" s="19">
        <f t="shared" ref="H74:H85" si="15">(A74+C74)-$H$4</f>
        <v>8</v>
      </c>
      <c r="I74" s="19">
        <f t="shared" ref="I74:I85" si="16">(B74+C74)-$I$4</f>
        <v>16</v>
      </c>
      <c r="J74" s="20">
        <f t="shared" ref="J74:J85" si="17">(A74+B74+C74)-$J$4</f>
        <v>43</v>
      </c>
      <c r="K74" s="25">
        <f t="shared" ref="K74:K85" si="18">MAX(D74:J74)</f>
        <v>43</v>
      </c>
      <c r="L74" s="29">
        <f t="shared" ref="L74:L85" si="19">IF(K74&gt;0,MATCH(K74,D74:J74,0),0)</f>
        <v>7</v>
      </c>
      <c r="M74" s="45">
        <f t="shared" ref="M74:M85" si="20">IF(L74&gt;0,HLOOKUP(L74,$D$2:$J$4,3,FALSE),0)</f>
        <v>76</v>
      </c>
    </row>
    <row r="75" spans="1:13" x14ac:dyDescent="0.3">
      <c r="A75" s="12">
        <v>35</v>
      </c>
      <c r="B75" s="13">
        <v>56</v>
      </c>
      <c r="C75" s="13">
        <v>0</v>
      </c>
      <c r="D75" s="19">
        <f t="shared" si="11"/>
        <v>-4</v>
      </c>
      <c r="E75" s="19">
        <f t="shared" si="12"/>
        <v>22</v>
      </c>
      <c r="F75" s="19">
        <f t="shared" si="13"/>
        <v>-38</v>
      </c>
      <c r="G75" s="19">
        <f t="shared" si="14"/>
        <v>23</v>
      </c>
      <c r="H75" s="19">
        <f t="shared" si="15"/>
        <v>-34</v>
      </c>
      <c r="I75" s="19">
        <f t="shared" si="16"/>
        <v>-12</v>
      </c>
      <c r="J75" s="20">
        <f t="shared" si="17"/>
        <v>15</v>
      </c>
      <c r="K75" s="25">
        <f t="shared" si="18"/>
        <v>23</v>
      </c>
      <c r="L75" s="29">
        <f t="shared" si="19"/>
        <v>4</v>
      </c>
      <c r="M75" s="45">
        <f t="shared" si="20"/>
        <v>68</v>
      </c>
    </row>
    <row r="76" spans="1:13" x14ac:dyDescent="0.3">
      <c r="A76" s="12">
        <v>35</v>
      </c>
      <c r="B76" s="13">
        <v>42</v>
      </c>
      <c r="C76" s="13">
        <v>0</v>
      </c>
      <c r="D76" s="19">
        <f t="shared" si="11"/>
        <v>-4</v>
      </c>
      <c r="E76" s="19">
        <f t="shared" si="12"/>
        <v>8</v>
      </c>
      <c r="F76" s="19">
        <f t="shared" si="13"/>
        <v>-38</v>
      </c>
      <c r="G76" s="19">
        <f t="shared" si="14"/>
        <v>9</v>
      </c>
      <c r="H76" s="19">
        <f t="shared" si="15"/>
        <v>-34</v>
      </c>
      <c r="I76" s="19">
        <f t="shared" si="16"/>
        <v>-26</v>
      </c>
      <c r="J76" s="20">
        <f t="shared" si="17"/>
        <v>1</v>
      </c>
      <c r="K76" s="25">
        <f t="shared" si="18"/>
        <v>9</v>
      </c>
      <c r="L76" s="29">
        <f t="shared" si="19"/>
        <v>4</v>
      </c>
      <c r="M76" s="45">
        <f t="shared" si="20"/>
        <v>68</v>
      </c>
    </row>
    <row r="77" spans="1:13" x14ac:dyDescent="0.3">
      <c r="A77" s="12">
        <v>42</v>
      </c>
      <c r="B77" s="13">
        <v>52.5</v>
      </c>
      <c r="C77" s="13">
        <v>7</v>
      </c>
      <c r="D77" s="19">
        <f t="shared" si="11"/>
        <v>3</v>
      </c>
      <c r="E77" s="19">
        <f t="shared" si="12"/>
        <v>18.5</v>
      </c>
      <c r="F77" s="19">
        <f t="shared" si="13"/>
        <v>-31</v>
      </c>
      <c r="G77" s="19">
        <f t="shared" si="14"/>
        <v>26.5</v>
      </c>
      <c r="H77" s="19">
        <f t="shared" si="15"/>
        <v>-20</v>
      </c>
      <c r="I77" s="19">
        <f t="shared" si="16"/>
        <v>-8.5</v>
      </c>
      <c r="J77" s="20">
        <f t="shared" si="17"/>
        <v>25.5</v>
      </c>
      <c r="K77" s="25">
        <f t="shared" si="18"/>
        <v>26.5</v>
      </c>
      <c r="L77" s="29">
        <f t="shared" si="19"/>
        <v>4</v>
      </c>
      <c r="M77" s="45">
        <f t="shared" si="20"/>
        <v>68</v>
      </c>
    </row>
    <row r="78" spans="1:13" x14ac:dyDescent="0.3">
      <c r="A78" s="12">
        <v>21</v>
      </c>
      <c r="B78" s="13">
        <v>21</v>
      </c>
      <c r="C78" s="13">
        <v>7</v>
      </c>
      <c r="D78" s="19">
        <f t="shared" si="11"/>
        <v>-18</v>
      </c>
      <c r="E78" s="19">
        <f t="shared" si="12"/>
        <v>-13</v>
      </c>
      <c r="F78" s="19">
        <f t="shared" si="13"/>
        <v>-31</v>
      </c>
      <c r="G78" s="19">
        <f t="shared" si="14"/>
        <v>-26</v>
      </c>
      <c r="H78" s="19">
        <f t="shared" si="15"/>
        <v>-41</v>
      </c>
      <c r="I78" s="19">
        <f t="shared" si="16"/>
        <v>-40</v>
      </c>
      <c r="J78" s="20">
        <f t="shared" si="17"/>
        <v>-27</v>
      </c>
      <c r="K78" s="25">
        <f t="shared" si="18"/>
        <v>-13</v>
      </c>
      <c r="L78" s="29">
        <f t="shared" si="19"/>
        <v>0</v>
      </c>
      <c r="M78" s="45">
        <f t="shared" si="20"/>
        <v>0</v>
      </c>
    </row>
    <row r="79" spans="1:13" x14ac:dyDescent="0.3">
      <c r="A79" s="12">
        <v>27.650000000000002</v>
      </c>
      <c r="B79" s="13">
        <v>48.65</v>
      </c>
      <c r="C79" s="13">
        <v>27.650000000000002</v>
      </c>
      <c r="D79" s="19">
        <f t="shared" si="11"/>
        <v>-11.349999999999998</v>
      </c>
      <c r="E79" s="19">
        <f t="shared" si="12"/>
        <v>14.649999999999999</v>
      </c>
      <c r="F79" s="19">
        <f t="shared" si="13"/>
        <v>-10.349999999999998</v>
      </c>
      <c r="G79" s="19">
        <f t="shared" si="14"/>
        <v>8.2999999999999972</v>
      </c>
      <c r="H79" s="19">
        <f t="shared" si="15"/>
        <v>-13.699999999999996</v>
      </c>
      <c r="I79" s="19">
        <f t="shared" si="16"/>
        <v>8.2999999999999972</v>
      </c>
      <c r="J79" s="20">
        <f t="shared" si="17"/>
        <v>27.950000000000003</v>
      </c>
      <c r="K79" s="25">
        <f t="shared" si="18"/>
        <v>27.950000000000003</v>
      </c>
      <c r="L79" s="29">
        <f t="shared" si="19"/>
        <v>7</v>
      </c>
      <c r="M79" s="45">
        <f t="shared" si="20"/>
        <v>76</v>
      </c>
    </row>
    <row r="80" spans="1:13" x14ac:dyDescent="0.3">
      <c r="A80" s="12">
        <v>0</v>
      </c>
      <c r="B80" s="13">
        <v>56</v>
      </c>
      <c r="C80" s="13">
        <v>35</v>
      </c>
      <c r="D80" s="19">
        <f t="shared" si="11"/>
        <v>-39</v>
      </c>
      <c r="E80" s="19">
        <f t="shared" si="12"/>
        <v>22</v>
      </c>
      <c r="F80" s="19">
        <f t="shared" si="13"/>
        <v>-3</v>
      </c>
      <c r="G80" s="19">
        <f t="shared" si="14"/>
        <v>-12</v>
      </c>
      <c r="H80" s="19">
        <f t="shared" si="15"/>
        <v>-34</v>
      </c>
      <c r="I80" s="19">
        <f t="shared" si="16"/>
        <v>23</v>
      </c>
      <c r="J80" s="20">
        <f t="shared" si="17"/>
        <v>15</v>
      </c>
      <c r="K80" s="25">
        <f t="shared" si="18"/>
        <v>23</v>
      </c>
      <c r="L80" s="29">
        <f t="shared" si="19"/>
        <v>6</v>
      </c>
      <c r="M80" s="45">
        <f t="shared" si="20"/>
        <v>68</v>
      </c>
    </row>
    <row r="81" spans="1:13" x14ac:dyDescent="0.3">
      <c r="A81" s="12">
        <v>0</v>
      </c>
      <c r="B81" s="13">
        <v>7</v>
      </c>
      <c r="C81" s="13">
        <v>0</v>
      </c>
      <c r="D81" s="19">
        <f t="shared" si="11"/>
        <v>-39</v>
      </c>
      <c r="E81" s="19">
        <f t="shared" si="12"/>
        <v>-27</v>
      </c>
      <c r="F81" s="19">
        <f t="shared" si="13"/>
        <v>-38</v>
      </c>
      <c r="G81" s="19">
        <f t="shared" si="14"/>
        <v>-61</v>
      </c>
      <c r="H81" s="19">
        <f t="shared" si="15"/>
        <v>-69</v>
      </c>
      <c r="I81" s="19">
        <f t="shared" si="16"/>
        <v>-61</v>
      </c>
      <c r="J81" s="20">
        <f t="shared" si="17"/>
        <v>-69</v>
      </c>
      <c r="K81" s="25">
        <f t="shared" si="18"/>
        <v>-27</v>
      </c>
      <c r="L81" s="29">
        <f t="shared" si="19"/>
        <v>0</v>
      </c>
      <c r="M81" s="45">
        <f t="shared" si="20"/>
        <v>0</v>
      </c>
    </row>
    <row r="82" spans="1:13" x14ac:dyDescent="0.3">
      <c r="A82" s="12">
        <v>35</v>
      </c>
      <c r="B82" s="13">
        <v>35</v>
      </c>
      <c r="C82" s="13">
        <v>56</v>
      </c>
      <c r="D82" s="19">
        <f t="shared" si="11"/>
        <v>-4</v>
      </c>
      <c r="E82" s="19">
        <f t="shared" si="12"/>
        <v>1</v>
      </c>
      <c r="F82" s="19">
        <f t="shared" si="13"/>
        <v>18</v>
      </c>
      <c r="G82" s="19">
        <f t="shared" si="14"/>
        <v>2</v>
      </c>
      <c r="H82" s="19">
        <f t="shared" si="15"/>
        <v>22</v>
      </c>
      <c r="I82" s="19">
        <f t="shared" si="16"/>
        <v>23</v>
      </c>
      <c r="J82" s="20">
        <f t="shared" si="17"/>
        <v>50</v>
      </c>
      <c r="K82" s="25">
        <f t="shared" si="18"/>
        <v>50</v>
      </c>
      <c r="L82" s="29">
        <f t="shared" si="19"/>
        <v>7</v>
      </c>
      <c r="M82" s="45">
        <f t="shared" si="20"/>
        <v>76</v>
      </c>
    </row>
    <row r="83" spans="1:13" x14ac:dyDescent="0.3">
      <c r="A83" s="12">
        <v>21</v>
      </c>
      <c r="B83" s="13">
        <v>28</v>
      </c>
      <c r="C83" s="13">
        <v>28</v>
      </c>
      <c r="D83" s="19">
        <f t="shared" si="11"/>
        <v>-18</v>
      </c>
      <c r="E83" s="19">
        <f t="shared" si="12"/>
        <v>-6</v>
      </c>
      <c r="F83" s="19">
        <f t="shared" si="13"/>
        <v>-10</v>
      </c>
      <c r="G83" s="19">
        <f t="shared" si="14"/>
        <v>-19</v>
      </c>
      <c r="H83" s="19">
        <f t="shared" si="15"/>
        <v>-20</v>
      </c>
      <c r="I83" s="19">
        <f t="shared" si="16"/>
        <v>-12</v>
      </c>
      <c r="J83" s="20">
        <f t="shared" si="17"/>
        <v>1</v>
      </c>
      <c r="K83" s="25">
        <f t="shared" si="18"/>
        <v>1</v>
      </c>
      <c r="L83" s="29">
        <f t="shared" si="19"/>
        <v>7</v>
      </c>
      <c r="M83" s="45">
        <f t="shared" si="20"/>
        <v>76</v>
      </c>
    </row>
    <row r="84" spans="1:13" x14ac:dyDescent="0.3">
      <c r="A84" s="12">
        <v>0</v>
      </c>
      <c r="B84" s="13">
        <v>42</v>
      </c>
      <c r="C84" s="13">
        <v>7</v>
      </c>
      <c r="D84" s="19">
        <f t="shared" si="11"/>
        <v>-39</v>
      </c>
      <c r="E84" s="19">
        <f t="shared" si="12"/>
        <v>8</v>
      </c>
      <c r="F84" s="19">
        <f t="shared" si="13"/>
        <v>-31</v>
      </c>
      <c r="G84" s="19">
        <f t="shared" si="14"/>
        <v>-26</v>
      </c>
      <c r="H84" s="19">
        <f t="shared" si="15"/>
        <v>-62</v>
      </c>
      <c r="I84" s="19">
        <f t="shared" si="16"/>
        <v>-19</v>
      </c>
      <c r="J84" s="20">
        <f t="shared" si="17"/>
        <v>-27</v>
      </c>
      <c r="K84" s="25">
        <f t="shared" si="18"/>
        <v>8</v>
      </c>
      <c r="L84" s="29">
        <f t="shared" si="19"/>
        <v>2</v>
      </c>
      <c r="M84" s="45">
        <f t="shared" si="20"/>
        <v>34</v>
      </c>
    </row>
    <row r="85" spans="1:13" x14ac:dyDescent="0.3">
      <c r="A85" s="14">
        <v>35</v>
      </c>
      <c r="B85" s="15">
        <v>35</v>
      </c>
      <c r="C85" s="15">
        <v>1.75</v>
      </c>
      <c r="D85" s="21">
        <f t="shared" si="11"/>
        <v>-4</v>
      </c>
      <c r="E85" s="21">
        <f t="shared" si="12"/>
        <v>1</v>
      </c>
      <c r="F85" s="21">
        <f t="shared" si="13"/>
        <v>-36.25</v>
      </c>
      <c r="G85" s="21">
        <f t="shared" si="14"/>
        <v>2</v>
      </c>
      <c r="H85" s="21">
        <f t="shared" si="15"/>
        <v>-32.25</v>
      </c>
      <c r="I85" s="21">
        <f t="shared" si="16"/>
        <v>-31.25</v>
      </c>
      <c r="J85" s="22">
        <f t="shared" si="17"/>
        <v>-4.25</v>
      </c>
      <c r="K85" s="26">
        <f t="shared" si="18"/>
        <v>2</v>
      </c>
      <c r="L85" s="30">
        <f t="shared" si="19"/>
        <v>4</v>
      </c>
      <c r="M85" s="46">
        <f t="shared" si="20"/>
        <v>68</v>
      </c>
    </row>
  </sheetData>
  <mergeCells count="4">
    <mergeCell ref="A1:H1"/>
    <mergeCell ref="A5:C5"/>
    <mergeCell ref="A7:C7"/>
    <mergeCell ref="D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 Data</vt:lpstr>
      <vt:lpstr>Initial Solution</vt:lpstr>
      <vt:lpstr>Final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Undale</dc:creator>
  <cp:lastModifiedBy>Sujal Mehta</cp:lastModifiedBy>
  <dcterms:created xsi:type="dcterms:W3CDTF">2023-10-01T04:17:29Z</dcterms:created>
  <dcterms:modified xsi:type="dcterms:W3CDTF">2024-06-24T08:01:21Z</dcterms:modified>
</cp:coreProperties>
</file>