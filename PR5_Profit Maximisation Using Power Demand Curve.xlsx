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al Mehta\Desktop\College\Second Year\Semester 4\Marketing Analytics\"/>
    </mc:Choice>
  </mc:AlternateContent>
  <xr:revisionPtr revIDLastSave="0" documentId="13_ncr:1_{656CB6A2-8E29-497D-AFA7-4B5055F84226}" xr6:coauthVersionLast="36" xr6:coauthVersionMax="36" xr10:uidLastSave="{00000000-0000-0000-0000-000000000000}"/>
  <bookViews>
    <workbookView xWindow="0" yWindow="0" windowWidth="23040" windowHeight="8940" activeTab="3" xr2:uid="{82FCD374-E89B-400B-A773-BF79C572A9B9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solver_adj" localSheetId="0" hidden="1">Sheet1!$B$16</definedName>
    <definedName name="solver_adj" localSheetId="1" hidden="1">Sheet2!$B$12</definedName>
    <definedName name="solver_adj" localSheetId="2" hidden="1">Sheet3!$B$9</definedName>
    <definedName name="solver_adj" localSheetId="3" hidden="1">Sheet4!$B$10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eng" localSheetId="0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lhs1" localSheetId="1" hidden="1">Sheet2!$B$12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um" localSheetId="0" hidden="1">0</definedName>
    <definedName name="solver_num" localSheetId="1" hidden="1">1</definedName>
    <definedName name="solver_num" localSheetId="2" hidden="1">0</definedName>
    <definedName name="solver_num" localSheetId="3" hidden="1">0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opt" localSheetId="0" hidden="1">Sheet1!$B$18</definedName>
    <definedName name="solver_opt" localSheetId="1" hidden="1">Sheet2!$B$15</definedName>
    <definedName name="solver_opt" localSheetId="2" hidden="1">Sheet3!$B$11</definedName>
    <definedName name="solver_opt" localSheetId="3" hidden="1">Sheet4!$B$12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el1" localSheetId="1" hidden="1">4</definedName>
    <definedName name="solver_rhs1" localSheetId="1" hidden="1">integer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1" hidden="1">0</definedName>
    <definedName name="solver_val" localSheetId="2" hidden="1">6</definedName>
    <definedName name="solver_val" localSheetId="3" hidden="1">6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4" l="1"/>
  <c r="B12" i="4" s="1"/>
  <c r="B8" i="4"/>
  <c r="B6" i="4"/>
  <c r="B17" i="1" l="1"/>
  <c r="B10" i="3"/>
  <c r="B11" i="3" s="1"/>
  <c r="B7" i="3"/>
  <c r="B5" i="3" l="1"/>
  <c r="B13" i="2" l="1"/>
  <c r="B15" i="2" s="1"/>
  <c r="C10" i="2"/>
  <c r="B6" i="2"/>
  <c r="B18" i="1" l="1"/>
  <c r="B14" i="1"/>
  <c r="B9" i="1" l="1"/>
</calcChain>
</file>

<file path=xl/sharedStrings.xml><?xml version="1.0" encoding="utf-8"?>
<sst xmlns="http://schemas.openxmlformats.org/spreadsheetml/2006/main" count="56" uniqueCount="28">
  <si>
    <t xml:space="preserve">You currently charge Rs 5 for a razor, you sell 6 Lakh Razors. Assume that the variable cost to produce a razor is rs 2. Finally , suppose that the price elasticity of demand for razors is 2 and the demand curve is power. What price should you charge for razors to maximise profit?         </t>
  </si>
  <si>
    <t>Elasticity</t>
  </si>
  <si>
    <t>Given:</t>
  </si>
  <si>
    <t>Current Price</t>
  </si>
  <si>
    <t>Quantity</t>
  </si>
  <si>
    <t>Cost</t>
  </si>
  <si>
    <t>Lakh</t>
  </si>
  <si>
    <t>Current Profit</t>
  </si>
  <si>
    <t>Power Demand Curve</t>
  </si>
  <si>
    <t>y=ap^-e</t>
  </si>
  <si>
    <t>Price</t>
  </si>
  <si>
    <t>e</t>
  </si>
  <si>
    <t>a</t>
  </si>
  <si>
    <t>y=150p^-2</t>
  </si>
  <si>
    <t>New Price</t>
  </si>
  <si>
    <t>New Q</t>
  </si>
  <si>
    <t>New Profit</t>
  </si>
  <si>
    <t>Eq^n</t>
  </si>
  <si>
    <t>Q=ap^-e</t>
  </si>
  <si>
    <t>Demand (Q)</t>
  </si>
  <si>
    <t>Price (p)</t>
  </si>
  <si>
    <t xml:space="preserve">Elasticity </t>
  </si>
  <si>
    <t>(p - c)*q</t>
  </si>
  <si>
    <t>Demand</t>
  </si>
  <si>
    <t>A</t>
  </si>
  <si>
    <t>New Demand</t>
  </si>
  <si>
    <t>Equation</t>
  </si>
  <si>
    <t>Q=AP^-E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</si>
</sst>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0" fillId="3" borderId="1" xfId="0" applyNumberFormat="1" applyFill="1" applyBorder="1"/>
    <xf numFmtId="1" fontId="0" fillId="3" borderId="1" xfId="0" applyNumberFormat="1" applyFill="1" applyBorder="1"/>
    <xf numFmtId="0" fontId="0" fillId="0" borderId="1" xfId="0" applyBorder="1"/>
    <xf numFmtId="2" fontId="0" fillId="0" borderId="0" xfId="0" applyNumberForma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0215-5099-462B-A9BB-85F3DB7B2577}">
  <dimension ref="A1:AA18"/>
  <sheetViews>
    <sheetView workbookViewId="0">
      <selection activeCell="B24" sqref="B24"/>
    </sheetView>
  </sheetViews>
  <sheetFormatPr defaultRowHeight="14.4" x14ac:dyDescent="0.3"/>
  <cols>
    <col min="1" max="1" width="18.77734375" bestFit="1" customWidth="1"/>
    <col min="3" max="3" width="9.5546875" bestFit="1" customWidth="1"/>
  </cols>
  <sheetData>
    <row r="1" spans="1:27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4" spans="1:27" x14ac:dyDescent="0.3">
      <c r="A4" s="1" t="s">
        <v>2</v>
      </c>
      <c r="B4" s="1"/>
      <c r="C4" s="1"/>
    </row>
    <row r="5" spans="1:27" x14ac:dyDescent="0.3">
      <c r="A5" s="1" t="s">
        <v>3</v>
      </c>
      <c r="B5" s="1">
        <v>5</v>
      </c>
      <c r="C5" s="1"/>
    </row>
    <row r="6" spans="1:27" x14ac:dyDescent="0.3">
      <c r="A6" s="1" t="s">
        <v>4</v>
      </c>
      <c r="B6" s="1">
        <v>6</v>
      </c>
      <c r="C6" s="1" t="s">
        <v>6</v>
      </c>
    </row>
    <row r="7" spans="1:27" x14ac:dyDescent="0.3">
      <c r="A7" s="1" t="s">
        <v>5</v>
      </c>
      <c r="B7" s="1">
        <v>2</v>
      </c>
      <c r="C7" s="1"/>
    </row>
    <row r="8" spans="1:27" x14ac:dyDescent="0.3">
      <c r="A8" s="1" t="s">
        <v>1</v>
      </c>
      <c r="B8" s="1">
        <v>2</v>
      </c>
      <c r="C8" s="1"/>
    </row>
    <row r="9" spans="1:27" x14ac:dyDescent="0.3">
      <c r="A9" s="1" t="s">
        <v>7</v>
      </c>
      <c r="B9" s="1">
        <f>(B5-B7)*B6</f>
        <v>18</v>
      </c>
      <c r="C9" s="1" t="s">
        <v>6</v>
      </c>
    </row>
    <row r="11" spans="1:27" x14ac:dyDescent="0.3">
      <c r="A11" s="2" t="s">
        <v>8</v>
      </c>
      <c r="B11" s="2" t="s">
        <v>9</v>
      </c>
      <c r="C11" s="2" t="s">
        <v>13</v>
      </c>
    </row>
    <row r="13" spans="1:27" x14ac:dyDescent="0.3">
      <c r="A13" s="3" t="s">
        <v>10</v>
      </c>
      <c r="B13" s="3" t="s">
        <v>4</v>
      </c>
      <c r="C13" s="3" t="s">
        <v>11</v>
      </c>
      <c r="D13" s="3" t="s">
        <v>12</v>
      </c>
    </row>
    <row r="14" spans="1:27" x14ac:dyDescent="0.3">
      <c r="A14" s="3">
        <v>5</v>
      </c>
      <c r="B14" s="3">
        <f>D14*A14^-C14</f>
        <v>5.9999999999999991</v>
      </c>
      <c r="C14" s="3">
        <v>2</v>
      </c>
      <c r="D14" s="3">
        <v>149.99999999999997</v>
      </c>
    </row>
    <row r="16" spans="1:27" x14ac:dyDescent="0.3">
      <c r="A16" s="1" t="s">
        <v>14</v>
      </c>
      <c r="B16" s="5">
        <v>4.0000213599873602</v>
      </c>
      <c r="C16" s="1"/>
    </row>
    <row r="17" spans="1:3" x14ac:dyDescent="0.3">
      <c r="A17" s="1" t="s">
        <v>15</v>
      </c>
      <c r="B17" s="4">
        <f>D14*B16^-C14</f>
        <v>9.3748998758612405</v>
      </c>
      <c r="C17" s="1"/>
    </row>
    <row r="18" spans="1:3" x14ac:dyDescent="0.3">
      <c r="A18" s="1" t="s">
        <v>16</v>
      </c>
      <c r="B18" s="1">
        <f>(B16-B7)*B17</f>
        <v>18.749999999465331</v>
      </c>
      <c r="C18" s="1" t="s">
        <v>6</v>
      </c>
    </row>
  </sheetData>
  <mergeCells count="1">
    <mergeCell ref="A1:A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7AC4A-BC91-46F1-85F4-F8501B72B83D}">
  <dimension ref="A1:AA15"/>
  <sheetViews>
    <sheetView workbookViewId="0">
      <selection activeCell="B13" sqref="B13"/>
    </sheetView>
  </sheetViews>
  <sheetFormatPr defaultRowHeight="14.4" x14ac:dyDescent="0.3"/>
  <cols>
    <col min="1" max="1" width="12.109375" bestFit="1" customWidth="1"/>
    <col min="2" max="2" width="10.6640625" bestFit="1" customWidth="1"/>
    <col min="3" max="3" width="4.6640625" bestFit="1" customWidth="1"/>
    <col min="4" max="4" width="8.6640625" bestFit="1" customWidth="1"/>
  </cols>
  <sheetData>
    <row r="1" spans="1:27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4" spans="1:27" x14ac:dyDescent="0.3">
      <c r="A4" s="6" t="s">
        <v>2</v>
      </c>
      <c r="B4" s="6"/>
      <c r="C4" s="6"/>
      <c r="D4" s="6"/>
      <c r="E4" s="6"/>
    </row>
    <row r="5" spans="1:27" x14ac:dyDescent="0.3">
      <c r="A5" s="6" t="s">
        <v>20</v>
      </c>
      <c r="B5" s="6" t="s">
        <v>19</v>
      </c>
      <c r="C5" s="6" t="s">
        <v>5</v>
      </c>
      <c r="D5" s="6" t="s">
        <v>21</v>
      </c>
      <c r="E5" s="6" t="s">
        <v>12</v>
      </c>
    </row>
    <row r="6" spans="1:27" x14ac:dyDescent="0.3">
      <c r="A6" s="6">
        <v>5</v>
      </c>
      <c r="B6" s="6">
        <f>E6*A6^-D6</f>
        <v>5.9999999999999991</v>
      </c>
      <c r="C6" s="6">
        <v>2</v>
      </c>
      <c r="D6" s="6">
        <v>2</v>
      </c>
      <c r="E6" s="6">
        <v>149.99999999999997</v>
      </c>
    </row>
    <row r="8" spans="1:27" x14ac:dyDescent="0.3">
      <c r="A8" s="6" t="s">
        <v>17</v>
      </c>
      <c r="B8" s="6" t="s">
        <v>18</v>
      </c>
    </row>
    <row r="10" spans="1:27" x14ac:dyDescent="0.3">
      <c r="A10" s="6" t="s">
        <v>7</v>
      </c>
      <c r="B10" s="6" t="s">
        <v>22</v>
      </c>
      <c r="C10" s="6">
        <f>(A6-C6)*B6</f>
        <v>17.999999999999996</v>
      </c>
    </row>
    <row r="12" spans="1:27" x14ac:dyDescent="0.3">
      <c r="A12" s="6" t="s">
        <v>14</v>
      </c>
      <c r="B12" s="6">
        <v>4</v>
      </c>
    </row>
    <row r="13" spans="1:27" x14ac:dyDescent="0.3">
      <c r="A13" s="6" t="s">
        <v>15</v>
      </c>
      <c r="B13" s="6">
        <f>E6*B12^-D6</f>
        <v>9.3749999999999982</v>
      </c>
    </row>
    <row r="14" spans="1:27" x14ac:dyDescent="0.3">
      <c r="A14" s="6" t="s">
        <v>5</v>
      </c>
      <c r="B14" s="6">
        <v>2</v>
      </c>
    </row>
    <row r="15" spans="1:27" x14ac:dyDescent="0.3">
      <c r="A15" s="6" t="s">
        <v>16</v>
      </c>
      <c r="B15" s="6">
        <f>(B12-B14)*B13</f>
        <v>18.749999999999996</v>
      </c>
    </row>
  </sheetData>
  <mergeCells count="1">
    <mergeCell ref="A1:A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DC70-B0C6-40FC-ABB6-6A65BA965083}">
  <dimension ref="A1:AA11"/>
  <sheetViews>
    <sheetView workbookViewId="0">
      <selection sqref="A1:AA2"/>
    </sheetView>
  </sheetViews>
  <sheetFormatPr defaultRowHeight="14.4" x14ac:dyDescent="0.3"/>
  <cols>
    <col min="1" max="1" width="12.109375" bestFit="1" customWidth="1"/>
  </cols>
  <sheetData>
    <row r="1" spans="1:27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4" spans="1:27" x14ac:dyDescent="0.3">
      <c r="A4" t="s">
        <v>10</v>
      </c>
      <c r="B4" t="s">
        <v>23</v>
      </c>
      <c r="C4" t="s">
        <v>1</v>
      </c>
      <c r="D4" t="s">
        <v>5</v>
      </c>
      <c r="E4" t="s">
        <v>24</v>
      </c>
    </row>
    <row r="5" spans="1:27" x14ac:dyDescent="0.3">
      <c r="A5">
        <v>5</v>
      </c>
      <c r="B5">
        <f>E5*A5^-C5</f>
        <v>6</v>
      </c>
      <c r="C5">
        <v>2</v>
      </c>
      <c r="D5">
        <v>2</v>
      </c>
      <c r="E5">
        <v>150</v>
      </c>
    </row>
    <row r="7" spans="1:27" x14ac:dyDescent="0.3">
      <c r="A7" t="s">
        <v>7</v>
      </c>
      <c r="B7">
        <f>(A5-D5)*B5</f>
        <v>18</v>
      </c>
    </row>
    <row r="9" spans="1:27" x14ac:dyDescent="0.3">
      <c r="A9" t="s">
        <v>14</v>
      </c>
      <c r="B9" s="7">
        <v>4.0000000141184513</v>
      </c>
    </row>
    <row r="10" spans="1:27" x14ac:dyDescent="0.3">
      <c r="A10" t="s">
        <v>25</v>
      </c>
      <c r="B10" s="7">
        <f>E5*B9^-C5</f>
        <v>9.37499993381976</v>
      </c>
    </row>
    <row r="11" spans="1:27" x14ac:dyDescent="0.3">
      <c r="A11" t="s">
        <v>16</v>
      </c>
      <c r="B11" s="7">
        <f>(B9-D5)*B10</f>
        <v>18.75</v>
      </c>
    </row>
  </sheetData>
  <mergeCells count="1">
    <mergeCell ref="A1:AA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89091-F557-4E1C-9973-3F7794C96B4F}">
  <dimension ref="A1:AA12"/>
  <sheetViews>
    <sheetView tabSelected="1" workbookViewId="0">
      <selection activeCell="B13" sqref="B13"/>
    </sheetView>
  </sheetViews>
  <sheetFormatPr defaultRowHeight="14.4" x14ac:dyDescent="0.3"/>
  <cols>
    <col min="1" max="1" width="12.109375" bestFit="1" customWidth="1"/>
  </cols>
  <sheetData>
    <row r="1" spans="1:27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3">
      <c r="A3" t="s">
        <v>26</v>
      </c>
      <c r="B3" t="s">
        <v>27</v>
      </c>
    </row>
    <row r="5" spans="1:27" x14ac:dyDescent="0.3">
      <c r="A5" t="s">
        <v>10</v>
      </c>
      <c r="B5" t="s">
        <v>23</v>
      </c>
      <c r="C5" t="s">
        <v>1</v>
      </c>
      <c r="D5" t="s">
        <v>24</v>
      </c>
    </row>
    <row r="6" spans="1:27" x14ac:dyDescent="0.3">
      <c r="A6">
        <v>5</v>
      </c>
      <c r="B6">
        <f>D6*A6^-C6</f>
        <v>6.0000000399999998</v>
      </c>
      <c r="C6">
        <v>2</v>
      </c>
      <c r="D6">
        <v>150.000001</v>
      </c>
    </row>
    <row r="8" spans="1:27" x14ac:dyDescent="0.3">
      <c r="A8" t="s">
        <v>7</v>
      </c>
      <c r="B8">
        <f>(A6-2)*B6</f>
        <v>18.000000119999999</v>
      </c>
    </row>
    <row r="10" spans="1:27" x14ac:dyDescent="0.3">
      <c r="A10" t="s">
        <v>14</v>
      </c>
      <c r="B10">
        <v>4.0000213599873735</v>
      </c>
    </row>
    <row r="11" spans="1:27" x14ac:dyDescent="0.3">
      <c r="A11" t="s">
        <v>25</v>
      </c>
      <c r="B11">
        <f>D6*B10^-C6</f>
        <v>9.3748999383605121</v>
      </c>
    </row>
    <row r="12" spans="1:27" x14ac:dyDescent="0.3">
      <c r="A12" t="s">
        <v>16</v>
      </c>
      <c r="B12">
        <f>(B10-2)*B11</f>
        <v>18.750000124465334</v>
      </c>
    </row>
  </sheetData>
  <mergeCells count="1">
    <mergeCell ref="A1:A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Mehta</dc:creator>
  <cp:lastModifiedBy>Sujal Mehta</cp:lastModifiedBy>
  <dcterms:created xsi:type="dcterms:W3CDTF">2024-02-21T08:01:40Z</dcterms:created>
  <dcterms:modified xsi:type="dcterms:W3CDTF">2024-05-30T11:12:46Z</dcterms:modified>
</cp:coreProperties>
</file>