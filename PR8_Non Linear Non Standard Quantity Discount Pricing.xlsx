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Sujal Mehta\Desktop\College\Second Year\Semester 4\Marketing Analytics\"/>
    </mc:Choice>
  </mc:AlternateContent>
  <xr:revisionPtr revIDLastSave="0" documentId="13_ncr:1_{C3EA6566-8909-4A6B-B205-55B53D17EDCE}" xr6:coauthVersionLast="36" xr6:coauthVersionMax="47" xr10:uidLastSave="{00000000-0000-0000-0000-000000000000}"/>
  <bookViews>
    <workbookView xWindow="0" yWindow="0" windowWidth="23040" windowHeight="8940" xr2:uid="{2B916C75-E7E1-4C38-956E-F4CE312F93F2}"/>
  </bookViews>
  <sheets>
    <sheet name="Sheet1" sheetId="1" r:id="rId1"/>
  </sheets>
  <definedNames>
    <definedName name="Cutoff" localSheetId="0">Sheet1!$F$18</definedName>
    <definedName name="HP" localSheetId="0">Sheet1!$F$19</definedName>
    <definedName name="HP">Sheet1!$F$19</definedName>
    <definedName name="LP" localSheetId="0">Sheet1!$F$20</definedName>
    <definedName name="solver_adj" localSheetId="0" hidden="1">Sheet1!$F$18:$F$20</definedName>
    <definedName name="solver_cvg" localSheetId="0" hidden="1">0.0001</definedName>
    <definedName name="solver_drv" localSheetId="0" hidden="1">1</definedName>
    <definedName name="solver_eng" localSheetId="0" hidden="1">3</definedName>
    <definedName name="solver_est" localSheetId="0" hidden="1">1</definedName>
    <definedName name="solver_itr" localSheetId="0" hidden="1">2147483647</definedName>
    <definedName name="solver_lhs1" localSheetId="0" hidden="1">Sheet1!$F$19:$F$20</definedName>
    <definedName name="solver_lhs2" localSheetId="0" hidden="1">Sheet1!$F$19:$F$20</definedName>
    <definedName name="solver_lhs3" localSheetId="0" hidden="1">Sheet1!$F$18</definedName>
    <definedName name="solver_lhs4" localSheetId="0" hidden="1">Sheet1!$F$18</definedName>
    <definedName name="solver_lhs5" localSheetId="0" hidden="1">Sheet1!$F$18</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5</definedName>
    <definedName name="solver_nwt" localSheetId="0" hidden="1">1</definedName>
    <definedName name="solver_opt" localSheetId="0" hidden="1">Sheet1!$U$14</definedName>
    <definedName name="solver_pre" localSheetId="0" hidden="1">0.000001</definedName>
    <definedName name="solver_rbv" localSheetId="0" hidden="1">1</definedName>
    <definedName name="solver_rel1" localSheetId="0" hidden="1">1</definedName>
    <definedName name="solver_rel2" localSheetId="0" hidden="1">3</definedName>
    <definedName name="solver_rel3" localSheetId="0" hidden="1">1</definedName>
    <definedName name="solver_rel4" localSheetId="0" hidden="1">4</definedName>
    <definedName name="solver_rel5" localSheetId="0" hidden="1">3</definedName>
    <definedName name="solver_rhs1" localSheetId="0" hidden="1">50</definedName>
    <definedName name="solver_rhs2" localSheetId="0" hidden="1">1</definedName>
    <definedName name="solver_rhs3" localSheetId="0" hidden="1">20</definedName>
    <definedName name="solver_rhs4" localSheetId="0" hidden="1">integer</definedName>
    <definedName name="solver_rhs5"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5" i="1" l="1"/>
  <c r="I26" i="1"/>
  <c r="I27" i="1"/>
  <c r="I28" i="1"/>
  <c r="I29" i="1"/>
  <c r="I30" i="1"/>
  <c r="I31" i="1"/>
  <c r="I32" i="1"/>
  <c r="I33" i="1"/>
  <c r="I34" i="1"/>
  <c r="I35" i="1"/>
  <c r="I36" i="1"/>
  <c r="I37" i="1"/>
  <c r="I38" i="1"/>
  <c r="I39" i="1"/>
  <c r="I40" i="1"/>
  <c r="I41" i="1"/>
  <c r="I42" i="1"/>
  <c r="I43" i="1"/>
  <c r="I44" i="1"/>
  <c r="G25" i="1"/>
  <c r="H25" i="1" s="1"/>
  <c r="E26" i="1"/>
  <c r="G26" i="1" s="1"/>
  <c r="M14" i="1"/>
  <c r="H7" i="1"/>
  <c r="H10" i="1" s="1"/>
  <c r="H26" i="1" l="1"/>
  <c r="J26" i="1" s="1"/>
  <c r="J25" i="1"/>
  <c r="E27" i="1"/>
  <c r="G27" i="1" l="1"/>
  <c r="H27" i="1" s="1"/>
  <c r="J27" i="1" s="1"/>
  <c r="E28" i="1"/>
  <c r="E29" i="1" l="1"/>
  <c r="G28" i="1"/>
  <c r="H28" i="1" s="1"/>
  <c r="J28" i="1" l="1"/>
  <c r="E30" i="1"/>
  <c r="G29" i="1"/>
  <c r="H29" i="1" s="1"/>
  <c r="J29" i="1" l="1"/>
  <c r="E31" i="1"/>
  <c r="G30" i="1"/>
  <c r="H30" i="1" s="1"/>
  <c r="E32" i="1" l="1"/>
  <c r="G31" i="1"/>
  <c r="H31" i="1"/>
  <c r="J30" i="1"/>
  <c r="E33" i="1" l="1"/>
  <c r="G32" i="1"/>
  <c r="H32" i="1"/>
  <c r="J31" i="1"/>
  <c r="E34" i="1" l="1"/>
  <c r="G33" i="1"/>
  <c r="H33" i="1" s="1"/>
  <c r="J32" i="1"/>
  <c r="E35" i="1" l="1"/>
  <c r="G34" i="1"/>
  <c r="H34" i="1" s="1"/>
  <c r="J33" i="1"/>
  <c r="E36" i="1" l="1"/>
  <c r="G35" i="1"/>
  <c r="H35" i="1"/>
  <c r="J34" i="1"/>
  <c r="E37" i="1" l="1"/>
  <c r="G36" i="1"/>
  <c r="H36" i="1" s="1"/>
  <c r="J35" i="1"/>
  <c r="J36" i="1" l="1"/>
  <c r="E38" i="1"/>
  <c r="G37" i="1"/>
  <c r="H37" i="1" s="1"/>
  <c r="J37" i="1" l="1"/>
  <c r="E39" i="1"/>
  <c r="G38" i="1"/>
  <c r="H38" i="1" s="1"/>
  <c r="J38" i="1" l="1"/>
  <c r="E40" i="1"/>
  <c r="G39" i="1"/>
  <c r="H39" i="1" s="1"/>
  <c r="J39" i="1" l="1"/>
  <c r="E41" i="1"/>
  <c r="G40" i="1"/>
  <c r="H40" i="1" s="1"/>
  <c r="J40" i="1" l="1"/>
  <c r="E42" i="1"/>
  <c r="G41" i="1"/>
  <c r="H41" i="1" s="1"/>
  <c r="J41" i="1" l="1"/>
  <c r="E43" i="1"/>
  <c r="G42" i="1"/>
  <c r="H42" i="1" s="1"/>
  <c r="J42" i="1" l="1"/>
  <c r="E44" i="1"/>
  <c r="G44" i="1" s="1"/>
  <c r="G43" i="1"/>
  <c r="H43" i="1" s="1"/>
  <c r="H44" i="1" l="1"/>
  <c r="J44" i="1" s="1"/>
  <c r="J43" i="1"/>
  <c r="J18" i="1" l="1"/>
  <c r="J19" i="1" s="1"/>
  <c r="J21" i="1" s="1"/>
  <c r="J20" i="1" l="1"/>
  <c r="J22" i="1" s="1"/>
</calcChain>
</file>

<file path=xl/sharedStrings.xml><?xml version="1.0" encoding="utf-8"?>
<sst xmlns="http://schemas.openxmlformats.org/spreadsheetml/2006/main" count="37" uniqueCount="33">
  <si>
    <t>Mahavitaran' , a power supply company of state of Maharshtra  wants to determine how to maximize the profit earned from a customer whose demand in kilowatt hours (kwh) for power is given by q=20-2p. It costs Rs.2 to produce a unit of power. Assume that currently Mahavitaran use linear pricing that is charging same price for each unit sold. You are required to find out how Mahavitaran can maximize profit by using 'Non Linear - Non Standard Quantity Discount' pricing.</t>
  </si>
  <si>
    <t>Price</t>
  </si>
  <si>
    <t>Demand</t>
  </si>
  <si>
    <t>Cost</t>
  </si>
  <si>
    <t>Profit</t>
  </si>
  <si>
    <t>Current profit using linear pricing</t>
  </si>
  <si>
    <t>&gt;10</t>
  </si>
  <si>
    <t>Cutoff</t>
  </si>
  <si>
    <t>Quantity</t>
  </si>
  <si>
    <t>HP (High Price)</t>
  </si>
  <si>
    <t>LP(Low Price)</t>
  </si>
  <si>
    <t>Q</t>
  </si>
  <si>
    <t xml:space="preserve">Method 1 </t>
  </si>
  <si>
    <t>15 x 1.5</t>
  </si>
  <si>
    <t xml:space="preserve">Method 2 </t>
  </si>
  <si>
    <t>10 x 2</t>
  </si>
  <si>
    <t>5 x 1.5</t>
  </si>
  <si>
    <t>Total</t>
  </si>
  <si>
    <t>Non Standard Quantity Discount</t>
  </si>
  <si>
    <t>Standard Quantity Discount</t>
  </si>
  <si>
    <t>HP</t>
  </si>
  <si>
    <t>LP</t>
  </si>
  <si>
    <t>Units</t>
  </si>
  <si>
    <t>Value</t>
  </si>
  <si>
    <t>Cumalative Value</t>
  </si>
  <si>
    <t>Price Paid</t>
  </si>
  <si>
    <t>Consumer Surplus</t>
  </si>
  <si>
    <t>Midpoint</t>
  </si>
  <si>
    <t>p= 10 - 0.5q</t>
  </si>
  <si>
    <t>q= 20-2p</t>
  </si>
  <si>
    <t>Maximum Consumer Surplus</t>
  </si>
  <si>
    <t>Units Purchased</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</si>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</sst>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6"/>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2" fillId="0" borderId="0" xfId="0" applyFont="1" applyAlignment="1">
      <alignment horizontal="left"/>
    </xf>
    <xf numFmtId="0" fontId="2" fillId="0" borderId="0" xfId="0" applyFont="1"/>
    <xf numFmtId="0" fontId="2" fillId="0" borderId="0" xfId="0" applyFont="1" applyAlignment="1">
      <alignment vertical="center"/>
    </xf>
    <xf numFmtId="0" fontId="0" fillId="0" borderId="0" xfId="0" applyAlignment="1">
      <alignment horizontal="center" wrapText="1"/>
    </xf>
    <xf numFmtId="0" fontId="0" fillId="0" borderId="1" xfId="0" applyBorder="1"/>
    <xf numFmtId="0" fontId="3" fillId="2" borderId="1" xfId="0" applyFont="1" applyFill="1" applyBorder="1"/>
    <xf numFmtId="0" fontId="0" fillId="3" borderId="1" xfId="0" applyFill="1" applyBorder="1"/>
    <xf numFmtId="0" fontId="1" fillId="3" borderId="1" xfId="0" applyFont="1" applyFill="1" applyBorder="1"/>
    <xf numFmtId="0" fontId="0" fillId="3" borderId="1" xfId="0" applyFill="1" applyBorder="1" applyAlignment="1">
      <alignment horizontal="center"/>
    </xf>
    <xf numFmtId="0" fontId="0" fillId="4" borderId="1" xfId="0" applyFill="1" applyBorder="1"/>
    <xf numFmtId="0" fontId="1" fillId="4" borderId="1" xfId="0" applyFont="1" applyFill="1" applyBorder="1"/>
    <xf numFmtId="0" fontId="1" fillId="4" borderId="1" xfId="0" applyFont="1"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center"/>
    </xf>
    <xf numFmtId="0" fontId="0" fillId="5" borderId="0" xfId="0" applyFill="1" applyAlignment="1">
      <alignment horizontal="center" wrapText="1"/>
    </xf>
    <xf numFmtId="0" fontId="0" fillId="4" borderId="1" xfId="0" applyFill="1" applyBorder="1" applyAlignment="1">
      <alignment horizontal="center"/>
    </xf>
    <xf numFmtId="0" fontId="1" fillId="0" borderId="1" xfId="0" applyFont="1" applyBorder="1"/>
    <xf numFmtId="0" fontId="1" fillId="0" borderId="1"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2"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16A3-C4F8-4CA3-ACDF-06E4225651EB}">
  <dimension ref="A1:P44"/>
  <sheetViews>
    <sheetView tabSelected="1" zoomScaleNormal="100" workbookViewId="0">
      <selection activeCell="B24" sqref="B24"/>
    </sheetView>
  </sheetViews>
  <sheetFormatPr defaultRowHeight="14.4" x14ac:dyDescent="0.3"/>
  <cols>
    <col min="5" max="6" width="12.5546875" customWidth="1"/>
    <col min="7" max="7" width="8" bestFit="1" customWidth="1"/>
    <col min="8" max="8" width="16.5546875" customWidth="1"/>
    <col min="9" max="9" width="12.44140625" bestFit="1" customWidth="1"/>
    <col min="10" max="10" width="17.109375" bestFit="1" customWidth="1"/>
    <col min="11" max="11" width="10.21875" bestFit="1" customWidth="1"/>
    <col min="13" max="13" width="11.77734375" bestFit="1" customWidth="1"/>
    <col min="14" max="14" width="12.77734375" bestFit="1" customWidth="1"/>
    <col min="17" max="17" width="11.44140625" bestFit="1" customWidth="1"/>
    <col min="21" max="21" width="17.77734375" customWidth="1"/>
    <col min="22" max="22" width="12" customWidth="1"/>
    <col min="23" max="23" width="22.77734375" customWidth="1"/>
  </cols>
  <sheetData>
    <row r="1" spans="1:16" ht="21" x14ac:dyDescent="0.4">
      <c r="A1" s="1"/>
      <c r="B1" s="2"/>
      <c r="C1" s="3"/>
      <c r="D1" s="2"/>
      <c r="E1" s="2"/>
      <c r="F1" s="2"/>
      <c r="G1" s="2"/>
      <c r="H1" s="2"/>
    </row>
    <row r="2" spans="1:16" x14ac:dyDescent="0.3">
      <c r="A2" s="15" t="s">
        <v>0</v>
      </c>
      <c r="B2" s="15"/>
      <c r="C2" s="15"/>
      <c r="D2" s="15"/>
      <c r="E2" s="15"/>
      <c r="F2" s="4"/>
    </row>
    <row r="3" spans="1:16" x14ac:dyDescent="0.3">
      <c r="A3" s="15"/>
      <c r="B3" s="15"/>
      <c r="C3" s="15"/>
      <c r="D3" s="15"/>
      <c r="E3" s="15"/>
      <c r="F3" s="4"/>
      <c r="K3" s="7"/>
      <c r="L3" s="8" t="s">
        <v>8</v>
      </c>
      <c r="M3" s="8" t="s">
        <v>1</v>
      </c>
      <c r="N3" s="7"/>
      <c r="O3" s="7"/>
      <c r="P3" s="7"/>
    </row>
    <row r="4" spans="1:16" x14ac:dyDescent="0.3">
      <c r="A4" s="15"/>
      <c r="B4" s="15"/>
      <c r="C4" s="15"/>
      <c r="D4" s="15"/>
      <c r="E4" s="15"/>
      <c r="F4" s="4"/>
      <c r="G4" s="16" t="s">
        <v>5</v>
      </c>
      <c r="H4" s="16"/>
      <c r="I4" s="16"/>
      <c r="K4" s="8" t="s">
        <v>7</v>
      </c>
      <c r="L4" s="9">
        <v>10</v>
      </c>
      <c r="M4" s="9">
        <v>2</v>
      </c>
      <c r="N4" s="7" t="s">
        <v>9</v>
      </c>
      <c r="O4" s="7"/>
      <c r="P4" s="7"/>
    </row>
    <row r="5" spans="1:16" x14ac:dyDescent="0.3">
      <c r="A5" s="15"/>
      <c r="B5" s="15"/>
      <c r="C5" s="15"/>
      <c r="D5" s="15"/>
      <c r="E5" s="15"/>
      <c r="F5" s="4"/>
      <c r="G5" s="5" t="s">
        <v>1</v>
      </c>
      <c r="H5" s="5">
        <v>6</v>
      </c>
      <c r="K5" s="7"/>
      <c r="L5" s="9" t="s">
        <v>6</v>
      </c>
      <c r="M5" s="9">
        <v>1.5</v>
      </c>
      <c r="N5" s="7" t="s">
        <v>10</v>
      </c>
      <c r="O5" s="7"/>
      <c r="P5" s="7"/>
    </row>
    <row r="6" spans="1:16" x14ac:dyDescent="0.3">
      <c r="A6" s="15"/>
      <c r="B6" s="15"/>
      <c r="C6" s="15"/>
      <c r="D6" s="15"/>
      <c r="E6" s="15"/>
      <c r="F6" s="4"/>
      <c r="G6" s="5"/>
      <c r="H6" s="5"/>
      <c r="K6" s="7"/>
      <c r="L6" s="9"/>
      <c r="M6" s="9"/>
      <c r="N6" s="7"/>
      <c r="O6" s="7"/>
      <c r="P6" s="7"/>
    </row>
    <row r="7" spans="1:16" x14ac:dyDescent="0.3">
      <c r="A7" s="15"/>
      <c r="B7" s="15"/>
      <c r="C7" s="15"/>
      <c r="D7" s="15"/>
      <c r="E7" s="15"/>
      <c r="F7" s="4"/>
      <c r="G7" s="5" t="s">
        <v>2</v>
      </c>
      <c r="H7" s="5">
        <f>20-2*H5</f>
        <v>8</v>
      </c>
      <c r="K7" s="7"/>
      <c r="L7" s="7"/>
      <c r="M7" s="7"/>
      <c r="N7" s="7"/>
      <c r="O7" s="7"/>
      <c r="P7" s="7"/>
    </row>
    <row r="8" spans="1:16" x14ac:dyDescent="0.3">
      <c r="A8" s="15"/>
      <c r="B8" s="15"/>
      <c r="C8" s="15"/>
      <c r="D8" s="15"/>
      <c r="E8" s="15"/>
      <c r="F8" s="4"/>
      <c r="G8" s="5" t="s">
        <v>3</v>
      </c>
      <c r="H8" s="5">
        <v>2</v>
      </c>
      <c r="K8" s="8" t="s">
        <v>11</v>
      </c>
      <c r="L8" s="9">
        <v>15</v>
      </c>
      <c r="M8" s="7"/>
      <c r="N8" s="7"/>
      <c r="O8" s="7"/>
      <c r="P8" s="7"/>
    </row>
    <row r="9" spans="1:16" x14ac:dyDescent="0.3">
      <c r="A9" s="15"/>
      <c r="B9" s="15"/>
      <c r="C9" s="15"/>
      <c r="D9" s="15"/>
      <c r="E9" s="15"/>
      <c r="F9" s="4"/>
      <c r="G9" s="5"/>
      <c r="H9" s="5"/>
      <c r="K9" s="7"/>
      <c r="L9" s="7"/>
      <c r="M9" s="7"/>
      <c r="N9" s="7"/>
      <c r="O9" s="7"/>
      <c r="P9" s="7"/>
    </row>
    <row r="10" spans="1:16" x14ac:dyDescent="0.3">
      <c r="A10" s="15"/>
      <c r="B10" s="15"/>
      <c r="C10" s="15"/>
      <c r="D10" s="15"/>
      <c r="E10" s="15"/>
      <c r="F10" s="4"/>
      <c r="G10" s="10" t="s">
        <v>4</v>
      </c>
      <c r="H10" s="10">
        <f>(H5-H8)*H7</f>
        <v>32</v>
      </c>
      <c r="K10" s="8" t="s">
        <v>12</v>
      </c>
      <c r="L10" s="7" t="s">
        <v>13</v>
      </c>
      <c r="M10" s="7">
        <v>22.5</v>
      </c>
      <c r="N10" s="8" t="s">
        <v>18</v>
      </c>
      <c r="O10" s="8"/>
      <c r="P10" s="8"/>
    </row>
    <row r="11" spans="1:16" x14ac:dyDescent="0.3">
      <c r="A11" s="15"/>
      <c r="B11" s="15"/>
      <c r="C11" s="15"/>
      <c r="D11" s="15"/>
      <c r="E11" s="15"/>
      <c r="F11" s="4"/>
      <c r="K11" s="7"/>
      <c r="L11" s="7"/>
      <c r="M11" s="7"/>
      <c r="N11" s="7"/>
      <c r="O11" s="7"/>
      <c r="P11" s="7"/>
    </row>
    <row r="12" spans="1:16" x14ac:dyDescent="0.3">
      <c r="A12" s="15"/>
      <c r="B12" s="15"/>
      <c r="C12" s="15"/>
      <c r="D12" s="15"/>
      <c r="E12" s="15"/>
      <c r="F12" s="4"/>
      <c r="K12" s="8" t="s">
        <v>14</v>
      </c>
      <c r="L12" s="7" t="s">
        <v>15</v>
      </c>
      <c r="M12" s="7">
        <v>20</v>
      </c>
      <c r="N12" s="8" t="s">
        <v>19</v>
      </c>
      <c r="O12" s="8"/>
      <c r="P12" s="8"/>
    </row>
    <row r="13" spans="1:16" x14ac:dyDescent="0.3">
      <c r="A13" s="15"/>
      <c r="B13" s="15"/>
      <c r="C13" s="15"/>
      <c r="D13" s="15"/>
      <c r="E13" s="15"/>
      <c r="F13" s="4"/>
      <c r="K13" s="7"/>
      <c r="L13" s="7" t="s">
        <v>16</v>
      </c>
      <c r="M13" s="7">
        <v>7.5</v>
      </c>
      <c r="N13" s="7"/>
      <c r="O13" s="7"/>
      <c r="P13" s="7"/>
    </row>
    <row r="14" spans="1:16" x14ac:dyDescent="0.3">
      <c r="K14" s="7"/>
      <c r="L14" s="8" t="s">
        <v>17</v>
      </c>
      <c r="M14" s="8">
        <f>SUM(M12:M13)</f>
        <v>27.5</v>
      </c>
      <c r="N14" s="7"/>
      <c r="O14" s="7"/>
      <c r="P14" s="7"/>
    </row>
    <row r="18" spans="5:13" x14ac:dyDescent="0.3">
      <c r="E18" s="11" t="s">
        <v>7</v>
      </c>
      <c r="F18" s="12">
        <v>6</v>
      </c>
      <c r="G18" s="10"/>
      <c r="H18" s="14" t="s">
        <v>30</v>
      </c>
      <c r="I18" s="14"/>
      <c r="J18" s="13">
        <f>MAX(J25:J44)</f>
        <v>6.4517280407017097E-11</v>
      </c>
    </row>
    <row r="19" spans="5:13" x14ac:dyDescent="0.3">
      <c r="E19" s="11" t="s">
        <v>20</v>
      </c>
      <c r="F19" s="12">
        <v>12.311475133876129</v>
      </c>
      <c r="G19" s="10"/>
      <c r="H19" s="14" t="s">
        <v>31</v>
      </c>
      <c r="I19" s="14"/>
      <c r="J19" s="13">
        <f>IF(J18&gt;0,MATCH(J18,J25:J44,0),0)</f>
        <v>16</v>
      </c>
    </row>
    <row r="20" spans="5:13" x14ac:dyDescent="0.3">
      <c r="E20" s="11" t="s">
        <v>21</v>
      </c>
      <c r="F20" s="12">
        <v>2.2131149196678712</v>
      </c>
      <c r="G20" s="10"/>
      <c r="H20" s="14" t="s">
        <v>32</v>
      </c>
      <c r="I20" s="14"/>
      <c r="J20" s="13">
        <f>VLOOKUP(J19,F25:I44,4,FALSE)</f>
        <v>95.999999999935483</v>
      </c>
    </row>
    <row r="21" spans="5:13" x14ac:dyDescent="0.3">
      <c r="E21" s="10"/>
      <c r="F21" s="10"/>
      <c r="G21" s="10"/>
      <c r="H21" s="14" t="s">
        <v>3</v>
      </c>
      <c r="I21" s="14"/>
      <c r="J21" s="13">
        <f>J19*H8</f>
        <v>32</v>
      </c>
    </row>
    <row r="22" spans="5:13" x14ac:dyDescent="0.3">
      <c r="E22" s="10"/>
      <c r="F22" s="10"/>
      <c r="G22" s="10"/>
      <c r="H22" s="14" t="s">
        <v>4</v>
      </c>
      <c r="I22" s="14"/>
      <c r="J22" s="12">
        <f>J20-J21</f>
        <v>63.999999999935483</v>
      </c>
    </row>
    <row r="24" spans="5:13" x14ac:dyDescent="0.3">
      <c r="E24" s="17" t="s">
        <v>27</v>
      </c>
      <c r="F24" s="18" t="s">
        <v>22</v>
      </c>
      <c r="G24" s="18" t="s">
        <v>23</v>
      </c>
      <c r="H24" s="18" t="s">
        <v>24</v>
      </c>
      <c r="I24" s="18" t="s">
        <v>25</v>
      </c>
      <c r="J24" s="18" t="s">
        <v>26</v>
      </c>
    </row>
    <row r="25" spans="5:13" x14ac:dyDescent="0.3">
      <c r="E25" s="22">
        <v>0.5</v>
      </c>
      <c r="F25" s="25">
        <v>1</v>
      </c>
      <c r="G25" s="22">
        <f>10-0.5*E25</f>
        <v>9.75</v>
      </c>
      <c r="H25" s="22">
        <f>G25</f>
        <v>9.75</v>
      </c>
      <c r="I25" s="22">
        <f t="shared" ref="I25:I44" si="0">IF(F25&lt;=Cutoff,F25*HP,Cutoff*HP+(F25-Cutoff)*LP)</f>
        <v>12.311475133876129</v>
      </c>
      <c r="J25" s="19">
        <f>H25-I25</f>
        <v>-2.5614751338761295</v>
      </c>
    </row>
    <row r="26" spans="5:13" x14ac:dyDescent="0.3">
      <c r="E26" s="23">
        <f>E25+1</f>
        <v>1.5</v>
      </c>
      <c r="F26" s="26">
        <v>2</v>
      </c>
      <c r="G26" s="23">
        <f t="shared" ref="G26:G44" si="1">10-0.5*E26</f>
        <v>9.25</v>
      </c>
      <c r="H26" s="23">
        <f>G26+H25</f>
        <v>19</v>
      </c>
      <c r="I26" s="23">
        <f t="shared" si="0"/>
        <v>24.622950267752259</v>
      </c>
      <c r="J26" s="20">
        <f t="shared" ref="J26:J44" si="2">H26-I26</f>
        <v>-5.6229502677522589</v>
      </c>
    </row>
    <row r="27" spans="5:13" x14ac:dyDescent="0.3">
      <c r="E27" s="23">
        <f t="shared" ref="E27:E44" si="3">E26+1</f>
        <v>2.5</v>
      </c>
      <c r="F27" s="26">
        <v>3</v>
      </c>
      <c r="G27" s="23">
        <f t="shared" si="1"/>
        <v>8.75</v>
      </c>
      <c r="H27" s="23">
        <f t="shared" ref="H27:H44" si="4">G27+H26</f>
        <v>27.75</v>
      </c>
      <c r="I27" s="23">
        <f t="shared" si="0"/>
        <v>36.934425401628388</v>
      </c>
      <c r="J27" s="20">
        <f t="shared" si="2"/>
        <v>-9.1844254016283884</v>
      </c>
    </row>
    <row r="28" spans="5:13" x14ac:dyDescent="0.3">
      <c r="E28" s="23">
        <f t="shared" si="3"/>
        <v>3.5</v>
      </c>
      <c r="F28" s="26">
        <v>4</v>
      </c>
      <c r="G28" s="23">
        <f t="shared" si="1"/>
        <v>8.25</v>
      </c>
      <c r="H28" s="23">
        <f t="shared" si="4"/>
        <v>36</v>
      </c>
      <c r="I28" s="23">
        <f t="shared" si="0"/>
        <v>49.245900535504518</v>
      </c>
      <c r="J28" s="20">
        <f t="shared" si="2"/>
        <v>-13.245900535504518</v>
      </c>
      <c r="M28" s="6" t="s">
        <v>28</v>
      </c>
    </row>
    <row r="29" spans="5:13" x14ac:dyDescent="0.3">
      <c r="E29" s="23">
        <f t="shared" si="3"/>
        <v>4.5</v>
      </c>
      <c r="F29" s="26">
        <v>5</v>
      </c>
      <c r="G29" s="23">
        <f t="shared" si="1"/>
        <v>7.75</v>
      </c>
      <c r="H29" s="23">
        <f t="shared" si="4"/>
        <v>43.75</v>
      </c>
      <c r="I29" s="23">
        <f t="shared" si="0"/>
        <v>61.557375669380647</v>
      </c>
      <c r="J29" s="20">
        <f t="shared" si="2"/>
        <v>-17.807375669380647</v>
      </c>
    </row>
    <row r="30" spans="5:13" x14ac:dyDescent="0.3">
      <c r="E30" s="23">
        <f t="shared" si="3"/>
        <v>5.5</v>
      </c>
      <c r="F30" s="26">
        <v>6</v>
      </c>
      <c r="G30" s="23">
        <f t="shared" si="1"/>
        <v>7.25</v>
      </c>
      <c r="H30" s="23">
        <f t="shared" si="4"/>
        <v>51</v>
      </c>
      <c r="I30" s="23">
        <f t="shared" si="0"/>
        <v>73.868850803256777</v>
      </c>
      <c r="J30" s="20">
        <f t="shared" si="2"/>
        <v>-22.868850803256777</v>
      </c>
      <c r="M30" s="6" t="s">
        <v>29</v>
      </c>
    </row>
    <row r="31" spans="5:13" x14ac:dyDescent="0.3">
      <c r="E31" s="23">
        <f t="shared" si="3"/>
        <v>6.5</v>
      </c>
      <c r="F31" s="26">
        <v>7</v>
      </c>
      <c r="G31" s="23">
        <f t="shared" si="1"/>
        <v>6.75</v>
      </c>
      <c r="H31" s="23">
        <f t="shared" si="4"/>
        <v>57.75</v>
      </c>
      <c r="I31" s="23">
        <f t="shared" si="0"/>
        <v>76.08196572292465</v>
      </c>
      <c r="J31" s="20">
        <f t="shared" si="2"/>
        <v>-18.33196572292465</v>
      </c>
    </row>
    <row r="32" spans="5:13" x14ac:dyDescent="0.3">
      <c r="E32" s="23">
        <f t="shared" si="3"/>
        <v>7.5</v>
      </c>
      <c r="F32" s="26">
        <v>8</v>
      </c>
      <c r="G32" s="23">
        <f t="shared" si="1"/>
        <v>6.25</v>
      </c>
      <c r="H32" s="23">
        <f t="shared" si="4"/>
        <v>64</v>
      </c>
      <c r="I32" s="23">
        <f t="shared" si="0"/>
        <v>78.295080642592524</v>
      </c>
      <c r="J32" s="20">
        <f t="shared" si="2"/>
        <v>-14.295080642592524</v>
      </c>
    </row>
    <row r="33" spans="5:10" x14ac:dyDescent="0.3">
      <c r="E33" s="23">
        <f t="shared" si="3"/>
        <v>8.5</v>
      </c>
      <c r="F33" s="26">
        <v>9</v>
      </c>
      <c r="G33" s="23">
        <f t="shared" si="1"/>
        <v>5.75</v>
      </c>
      <c r="H33" s="23">
        <f t="shared" si="4"/>
        <v>69.75</v>
      </c>
      <c r="I33" s="23">
        <f t="shared" si="0"/>
        <v>80.508195562260397</v>
      </c>
      <c r="J33" s="20">
        <f t="shared" si="2"/>
        <v>-10.758195562260397</v>
      </c>
    </row>
    <row r="34" spans="5:10" x14ac:dyDescent="0.3">
      <c r="E34" s="23">
        <f t="shared" si="3"/>
        <v>9.5</v>
      </c>
      <c r="F34" s="26">
        <v>10</v>
      </c>
      <c r="G34" s="23">
        <f t="shared" si="1"/>
        <v>5.25</v>
      </c>
      <c r="H34" s="23">
        <f t="shared" si="4"/>
        <v>75</v>
      </c>
      <c r="I34" s="23">
        <f t="shared" si="0"/>
        <v>82.721310481928256</v>
      </c>
      <c r="J34" s="20">
        <f t="shared" si="2"/>
        <v>-7.7213104819282563</v>
      </c>
    </row>
    <row r="35" spans="5:10" x14ac:dyDescent="0.3">
      <c r="E35" s="23">
        <f t="shared" si="3"/>
        <v>10.5</v>
      </c>
      <c r="F35" s="26">
        <v>11</v>
      </c>
      <c r="G35" s="23">
        <f t="shared" si="1"/>
        <v>4.75</v>
      </c>
      <c r="H35" s="23">
        <f t="shared" si="4"/>
        <v>79.75</v>
      </c>
      <c r="I35" s="23">
        <f t="shared" si="0"/>
        <v>84.93442540159613</v>
      </c>
      <c r="J35" s="20">
        <f t="shared" si="2"/>
        <v>-5.1844254015961297</v>
      </c>
    </row>
    <row r="36" spans="5:10" x14ac:dyDescent="0.3">
      <c r="E36" s="23">
        <f t="shared" si="3"/>
        <v>11.5</v>
      </c>
      <c r="F36" s="26">
        <v>12</v>
      </c>
      <c r="G36" s="23">
        <f t="shared" si="1"/>
        <v>4.25</v>
      </c>
      <c r="H36" s="23">
        <f t="shared" si="4"/>
        <v>84</v>
      </c>
      <c r="I36" s="23">
        <f t="shared" si="0"/>
        <v>87.147540321264003</v>
      </c>
      <c r="J36" s="20">
        <f t="shared" si="2"/>
        <v>-3.1475403212640032</v>
      </c>
    </row>
    <row r="37" spans="5:10" x14ac:dyDescent="0.3">
      <c r="E37" s="23">
        <f t="shared" si="3"/>
        <v>12.5</v>
      </c>
      <c r="F37" s="26">
        <v>13</v>
      </c>
      <c r="G37" s="23">
        <f t="shared" si="1"/>
        <v>3.75</v>
      </c>
      <c r="H37" s="23">
        <f t="shared" si="4"/>
        <v>87.75</v>
      </c>
      <c r="I37" s="23">
        <f t="shared" si="0"/>
        <v>89.360655240931877</v>
      </c>
      <c r="J37" s="20">
        <f t="shared" si="2"/>
        <v>-1.6106552409318766</v>
      </c>
    </row>
    <row r="38" spans="5:10" x14ac:dyDescent="0.3">
      <c r="E38" s="23">
        <f t="shared" si="3"/>
        <v>13.5</v>
      </c>
      <c r="F38" s="26">
        <v>14</v>
      </c>
      <c r="G38" s="23">
        <f t="shared" si="1"/>
        <v>3.25</v>
      </c>
      <c r="H38" s="23">
        <f t="shared" si="4"/>
        <v>91</v>
      </c>
      <c r="I38" s="23">
        <f t="shared" si="0"/>
        <v>91.57377016059975</v>
      </c>
      <c r="J38" s="20">
        <f t="shared" si="2"/>
        <v>-0.57377016059975006</v>
      </c>
    </row>
    <row r="39" spans="5:10" x14ac:dyDescent="0.3">
      <c r="E39" s="23">
        <f t="shared" si="3"/>
        <v>14.5</v>
      </c>
      <c r="F39" s="26">
        <v>15</v>
      </c>
      <c r="G39" s="23">
        <f t="shared" si="1"/>
        <v>2.75</v>
      </c>
      <c r="H39" s="23">
        <f t="shared" si="4"/>
        <v>93.75</v>
      </c>
      <c r="I39" s="23">
        <f t="shared" si="0"/>
        <v>93.786885080267609</v>
      </c>
      <c r="J39" s="20">
        <f t="shared" si="2"/>
        <v>-3.6885080267609283E-2</v>
      </c>
    </row>
    <row r="40" spans="5:10" x14ac:dyDescent="0.3">
      <c r="E40" s="23">
        <f t="shared" si="3"/>
        <v>15.5</v>
      </c>
      <c r="F40" s="26">
        <v>16</v>
      </c>
      <c r="G40" s="23">
        <f t="shared" si="1"/>
        <v>2.25</v>
      </c>
      <c r="H40" s="23">
        <f t="shared" si="4"/>
        <v>96</v>
      </c>
      <c r="I40" s="23">
        <f t="shared" si="0"/>
        <v>95.999999999935483</v>
      </c>
      <c r="J40" s="20">
        <f t="shared" si="2"/>
        <v>6.4517280407017097E-11</v>
      </c>
    </row>
    <row r="41" spans="5:10" x14ac:dyDescent="0.3">
      <c r="E41" s="23">
        <f t="shared" si="3"/>
        <v>16.5</v>
      </c>
      <c r="F41" s="26">
        <v>17</v>
      </c>
      <c r="G41" s="23">
        <f t="shared" si="1"/>
        <v>1.75</v>
      </c>
      <c r="H41" s="23">
        <f t="shared" si="4"/>
        <v>97.75</v>
      </c>
      <c r="I41" s="23">
        <f t="shared" si="0"/>
        <v>98.213114919603356</v>
      </c>
      <c r="J41" s="20">
        <f t="shared" si="2"/>
        <v>-0.46311491960335616</v>
      </c>
    </row>
    <row r="42" spans="5:10" x14ac:dyDescent="0.3">
      <c r="E42" s="23">
        <f t="shared" si="3"/>
        <v>17.5</v>
      </c>
      <c r="F42" s="26">
        <v>18</v>
      </c>
      <c r="G42" s="23">
        <f t="shared" si="1"/>
        <v>1.25</v>
      </c>
      <c r="H42" s="23">
        <f t="shared" si="4"/>
        <v>99</v>
      </c>
      <c r="I42" s="23">
        <f t="shared" si="0"/>
        <v>100.42622983927123</v>
      </c>
      <c r="J42" s="20">
        <f t="shared" si="2"/>
        <v>-1.4262298392712296</v>
      </c>
    </row>
    <row r="43" spans="5:10" x14ac:dyDescent="0.3">
      <c r="E43" s="23">
        <f t="shared" si="3"/>
        <v>18.5</v>
      </c>
      <c r="F43" s="26">
        <v>19</v>
      </c>
      <c r="G43" s="23">
        <f t="shared" si="1"/>
        <v>0.75</v>
      </c>
      <c r="H43" s="23">
        <f t="shared" si="4"/>
        <v>99.75</v>
      </c>
      <c r="I43" s="23">
        <f t="shared" si="0"/>
        <v>102.6393447589391</v>
      </c>
      <c r="J43" s="20">
        <f t="shared" si="2"/>
        <v>-2.889344758939103</v>
      </c>
    </row>
    <row r="44" spans="5:10" x14ac:dyDescent="0.3">
      <c r="E44" s="24">
        <f t="shared" si="3"/>
        <v>19.5</v>
      </c>
      <c r="F44" s="27">
        <v>20</v>
      </c>
      <c r="G44" s="24">
        <f t="shared" si="1"/>
        <v>0.25</v>
      </c>
      <c r="H44" s="24">
        <f t="shared" si="4"/>
        <v>100</v>
      </c>
      <c r="I44" s="24">
        <f t="shared" si="0"/>
        <v>104.85245967860698</v>
      </c>
      <c r="J44" s="21">
        <f t="shared" si="2"/>
        <v>-4.8524596786069765</v>
      </c>
    </row>
  </sheetData>
  <mergeCells count="7">
    <mergeCell ref="H21:I21"/>
    <mergeCell ref="H22:I22"/>
    <mergeCell ref="A2:E13"/>
    <mergeCell ref="G4:I4"/>
    <mergeCell ref="H18:I18"/>
    <mergeCell ref="H19:I19"/>
    <mergeCell ref="H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Sheet1!Cutoff</vt:lpstr>
      <vt:lpstr>Sheet1!HP</vt:lpstr>
      <vt:lpstr>HP</vt:lpstr>
      <vt:lpstr>Sheet1!LP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Dharmadhikari</dc:creator>
  <cp:lastModifiedBy>Sujal Mehta</cp:lastModifiedBy>
  <dcterms:created xsi:type="dcterms:W3CDTF">2024-04-18T07:56:18Z</dcterms:created>
  <dcterms:modified xsi:type="dcterms:W3CDTF">2024-04-27T06:54:42Z</dcterms:modified>
</cp:coreProperties>
</file>